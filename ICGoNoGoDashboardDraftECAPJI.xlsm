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sedc-my.sharepoint.com/personal/echamoun_usedc_com/Documents/U.S Property master folder/"/>
    </mc:Choice>
  </mc:AlternateContent>
  <xr:revisionPtr revIDLastSave="348" documentId="8_{7A95AE2F-1903-409D-A204-B6C4B5A0976E}" xr6:coauthVersionLast="47" xr6:coauthVersionMax="47" xr10:uidLastSave="{28AD9059-E284-4B1D-90EC-2866014E82CD}"/>
  <bookViews>
    <workbookView xWindow="-28920" yWindow="-120" windowWidth="29040" windowHeight="15720" activeTab="1" xr2:uid="{00000000-000D-0000-FFFF-FFFF00000000}"/>
  </bookViews>
  <sheets>
    <sheet name="Instructions" sheetId="10" r:id="rId1"/>
    <sheet name="Dashboard" sheetId="1" r:id="rId2"/>
    <sheet name="Deals" sheetId="4" r:id="rId3"/>
    <sheet name="Scores" sheetId="5" r:id="rId4"/>
    <sheet name="Ranking" sheetId="6" r:id="rId5"/>
    <sheet name="Market Ranking" sheetId="7" r:id="rId6"/>
    <sheet name="Market Data" sheetId="8" state="hidden" r:id="rId7"/>
  </sheets>
  <definedNames>
    <definedName name="DealNames">Deals!$B$1:$L$1</definedName>
    <definedName name="MarketCounties">'Market Data'!$A$2:$A$247</definedName>
    <definedName name="MarketTable">'Market Data'!$A$2:$F$247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4" l="1"/>
  <c r="I6" i="4" s="1"/>
  <c r="H5" i="4" l="1"/>
  <c r="H6" i="4" s="1"/>
  <c r="H26" i="4"/>
  <c r="H25" i="4"/>
  <c r="H24" i="4"/>
  <c r="H9" i="5" s="1"/>
  <c r="H6" i="5"/>
  <c r="H5" i="5"/>
  <c r="H13" i="4"/>
  <c r="H8" i="4"/>
  <c r="H4" i="4"/>
  <c r="H27" i="4" s="1"/>
  <c r="B14" i="6"/>
  <c r="A14" i="6"/>
  <c r="B13" i="6"/>
  <c r="A13" i="6"/>
  <c r="B12" i="6"/>
  <c r="A12" i="6"/>
  <c r="B11" i="6"/>
  <c r="A11" i="6"/>
  <c r="B10" i="6"/>
  <c r="A10" i="6"/>
  <c r="B9" i="6"/>
  <c r="A9" i="6"/>
  <c r="B8" i="6"/>
  <c r="A8" i="6"/>
  <c r="B7" i="6"/>
  <c r="A7" i="6"/>
  <c r="A6" i="6"/>
  <c r="A5" i="6"/>
  <c r="A4" i="6"/>
  <c r="L10" i="5"/>
  <c r="K10" i="5"/>
  <c r="J10" i="5"/>
  <c r="I10" i="5"/>
  <c r="H10" i="5"/>
  <c r="G10" i="5"/>
  <c r="F10" i="5"/>
  <c r="E10" i="5"/>
  <c r="D10" i="5"/>
  <c r="C10" i="5"/>
  <c r="B10" i="5"/>
  <c r="D9" i="5"/>
  <c r="C9" i="5"/>
  <c r="B9" i="5"/>
  <c r="D7" i="5"/>
  <c r="C7" i="5"/>
  <c r="B7" i="5"/>
  <c r="D6" i="5"/>
  <c r="C6" i="5"/>
  <c r="B6" i="5"/>
  <c r="D5" i="5"/>
  <c r="C5" i="5"/>
  <c r="B5" i="5"/>
  <c r="L4" i="5"/>
  <c r="K4" i="5"/>
  <c r="J4" i="5"/>
  <c r="I4" i="5"/>
  <c r="H4" i="5"/>
  <c r="G4" i="5"/>
  <c r="F4" i="5"/>
  <c r="E4" i="5"/>
  <c r="D4" i="5"/>
  <c r="C4" i="5"/>
  <c r="B4" i="5"/>
  <c r="L1" i="5"/>
  <c r="K1" i="5"/>
  <c r="J1" i="5"/>
  <c r="I1" i="5"/>
  <c r="H1" i="5"/>
  <c r="G1" i="5"/>
  <c r="F1" i="5"/>
  <c r="E1" i="5"/>
  <c r="D1" i="5"/>
  <c r="C1" i="5"/>
  <c r="B1" i="5"/>
  <c r="D27" i="4"/>
  <c r="D3" i="5" s="1"/>
  <c r="C27" i="4"/>
  <c r="C3" i="5" s="1"/>
  <c r="B27" i="4"/>
  <c r="B3" i="5" s="1"/>
  <c r="L26" i="4"/>
  <c r="L8" i="5" s="1"/>
  <c r="K26" i="4"/>
  <c r="K8" i="5" s="1"/>
  <c r="J26" i="4"/>
  <c r="J2" i="5" s="1"/>
  <c r="I26" i="4"/>
  <c r="I8" i="5" s="1"/>
  <c r="H8" i="5"/>
  <c r="G26" i="4"/>
  <c r="G8" i="5" s="1"/>
  <c r="F26" i="4"/>
  <c r="F8" i="5" s="1"/>
  <c r="E26" i="4"/>
  <c r="E8" i="5" s="1"/>
  <c r="D26" i="4"/>
  <c r="D8" i="5" s="1"/>
  <c r="C26" i="4"/>
  <c r="C8" i="5" s="1"/>
  <c r="B26" i="4"/>
  <c r="B8" i="5" s="1"/>
  <c r="L25" i="4"/>
  <c r="K25" i="4"/>
  <c r="J25" i="4"/>
  <c r="I25" i="4"/>
  <c r="G25" i="4"/>
  <c r="F25" i="4"/>
  <c r="E25" i="4"/>
  <c r="L24" i="4"/>
  <c r="L9" i="5" s="1"/>
  <c r="K24" i="4"/>
  <c r="K9" i="5" s="1"/>
  <c r="J24" i="4"/>
  <c r="J9" i="5" s="1"/>
  <c r="I24" i="4"/>
  <c r="I9" i="5" s="1"/>
  <c r="G24" i="4"/>
  <c r="G9" i="5" s="1"/>
  <c r="F24" i="4"/>
  <c r="F9" i="5" s="1"/>
  <c r="E24" i="4"/>
  <c r="E9" i="5" s="1"/>
  <c r="L23" i="4"/>
  <c r="L7" i="5" s="1"/>
  <c r="K23" i="4"/>
  <c r="K7" i="5" s="1"/>
  <c r="J23" i="4"/>
  <c r="J7" i="5" s="1"/>
  <c r="I7" i="5"/>
  <c r="H7" i="5"/>
  <c r="G23" i="4"/>
  <c r="G7" i="5" s="1"/>
  <c r="F23" i="4"/>
  <c r="F7" i="5" s="1"/>
  <c r="E23" i="4"/>
  <c r="E7" i="5" s="1"/>
  <c r="L22" i="4"/>
  <c r="L6" i="5" s="1"/>
  <c r="K22" i="4"/>
  <c r="K6" i="5" s="1"/>
  <c r="J22" i="4"/>
  <c r="J6" i="5" s="1"/>
  <c r="I6" i="5"/>
  <c r="G22" i="4"/>
  <c r="G6" i="5" s="1"/>
  <c r="F22" i="4"/>
  <c r="F6" i="5" s="1"/>
  <c r="E22" i="4"/>
  <c r="E6" i="5" s="1"/>
  <c r="L21" i="4"/>
  <c r="L5" i="5" s="1"/>
  <c r="K21" i="4"/>
  <c r="K5" i="5" s="1"/>
  <c r="J21" i="4"/>
  <c r="J5" i="5" s="1"/>
  <c r="I5" i="5"/>
  <c r="G21" i="4"/>
  <c r="G5" i="5" s="1"/>
  <c r="F21" i="4"/>
  <c r="F5" i="5" s="1"/>
  <c r="E21" i="4"/>
  <c r="E5" i="5" s="1"/>
  <c r="L13" i="4"/>
  <c r="K13" i="4"/>
  <c r="J13" i="4"/>
  <c r="I13" i="4"/>
  <c r="G13" i="4"/>
  <c r="F13" i="4"/>
  <c r="E13" i="4"/>
  <c r="L8" i="4"/>
  <c r="K8" i="4"/>
  <c r="J8" i="4"/>
  <c r="I8" i="4"/>
  <c r="G8" i="4"/>
  <c r="F8" i="4"/>
  <c r="E8" i="4"/>
  <c r="L4" i="4"/>
  <c r="L14" i="4" s="1"/>
  <c r="K4" i="4"/>
  <c r="K14" i="4" s="1"/>
  <c r="J4" i="4"/>
  <c r="I4" i="4"/>
  <c r="G4" i="4"/>
  <c r="G27" i="4" s="1"/>
  <c r="G3" i="5" s="1"/>
  <c r="F4" i="4"/>
  <c r="F14" i="4" s="1"/>
  <c r="E4" i="4"/>
  <c r="E14" i="4" s="1"/>
  <c r="D27" i="1"/>
  <c r="C27" i="1"/>
  <c r="D26" i="1"/>
  <c r="C26" i="1"/>
  <c r="D25" i="1"/>
  <c r="C25" i="1"/>
  <c r="D24" i="1"/>
  <c r="C24" i="1"/>
  <c r="D23" i="1"/>
  <c r="C23" i="1"/>
  <c r="D22" i="1"/>
  <c r="C22" i="1"/>
  <c r="D21" i="1"/>
  <c r="C21" i="1"/>
  <c r="D20" i="1"/>
  <c r="C20" i="1"/>
  <c r="D19" i="1"/>
  <c r="C19" i="1"/>
  <c r="D18" i="1"/>
  <c r="C18" i="1"/>
  <c r="D17" i="1"/>
  <c r="C17" i="1"/>
  <c r="D16" i="1"/>
  <c r="C16" i="1"/>
  <c r="D15" i="1"/>
  <c r="C15" i="1"/>
  <c r="D14" i="1"/>
  <c r="C14" i="1"/>
  <c r="D13" i="1"/>
  <c r="C13" i="1"/>
  <c r="D12" i="1"/>
  <c r="C12" i="1"/>
  <c r="J11" i="1"/>
  <c r="D11" i="1"/>
  <c r="C11" i="1"/>
  <c r="J10" i="1"/>
  <c r="D10" i="1"/>
  <c r="C10" i="1"/>
  <c r="J9" i="1"/>
  <c r="D9" i="1"/>
  <c r="C9" i="1"/>
  <c r="J8" i="1"/>
  <c r="D8" i="1"/>
  <c r="C8" i="1"/>
  <c r="J7" i="1"/>
  <c r="J6" i="1"/>
  <c r="J5" i="1"/>
  <c r="J4" i="1"/>
  <c r="J3" i="1"/>
  <c r="J2" i="1"/>
  <c r="J1" i="1"/>
  <c r="H1" i="1"/>
  <c r="B23" i="1" s="1"/>
  <c r="I14" i="4" l="1"/>
  <c r="H14" i="4"/>
  <c r="J14" i="4"/>
  <c r="C2" i="5"/>
  <c r="H2" i="5"/>
  <c r="C28" i="1"/>
  <c r="D28" i="1"/>
  <c r="C12" i="5"/>
  <c r="C5" i="6" s="1"/>
  <c r="K2" i="5"/>
  <c r="F27" i="4"/>
  <c r="F13" i="5" s="1"/>
  <c r="F14" i="5" s="1"/>
  <c r="D8" i="6" s="1"/>
  <c r="B13" i="5"/>
  <c r="J8" i="5"/>
  <c r="G14" i="4"/>
  <c r="E27" i="4"/>
  <c r="E3" i="5" s="1"/>
  <c r="B33" i="1" s="1"/>
  <c r="B18" i="1"/>
  <c r="H13" i="5"/>
  <c r="H3" i="5"/>
  <c r="B9" i="1"/>
  <c r="B24" i="1"/>
  <c r="C13" i="5"/>
  <c r="B13" i="1"/>
  <c r="B19" i="1"/>
  <c r="B34" i="1"/>
  <c r="B2" i="5"/>
  <c r="B12" i="5" s="1"/>
  <c r="C4" i="6" s="1"/>
  <c r="D13" i="5"/>
  <c r="B35" i="1"/>
  <c r="I27" i="4"/>
  <c r="I3" i="5" s="1"/>
  <c r="J27" i="4"/>
  <c r="J3" i="5" s="1"/>
  <c r="J12" i="5" s="1"/>
  <c r="C12" i="6" s="1"/>
  <c r="D2" i="5"/>
  <c r="D12" i="5" s="1"/>
  <c r="C6" i="6" s="1"/>
  <c r="B10" i="1"/>
  <c r="B20" i="1"/>
  <c r="B37" i="1"/>
  <c r="K27" i="4"/>
  <c r="K3" i="5" s="1"/>
  <c r="E2" i="5"/>
  <c r="G13" i="5"/>
  <c r="G14" i="5" s="1"/>
  <c r="D9" i="6" s="1"/>
  <c r="B36" i="1"/>
  <c r="B15" i="1"/>
  <c r="B38" i="1"/>
  <c r="L27" i="4"/>
  <c r="L3" i="5" s="1"/>
  <c r="F2" i="5"/>
  <c r="B25" i="1"/>
  <c r="B26" i="1"/>
  <c r="B39" i="1"/>
  <c r="G2" i="5"/>
  <c r="G12" i="5" s="1"/>
  <c r="C9" i="6" s="1"/>
  <c r="B21" i="1"/>
  <c r="B40" i="1"/>
  <c r="B11" i="1"/>
  <c r="B16" i="1"/>
  <c r="I2" i="5"/>
  <c r="B14" i="1"/>
  <c r="B27" i="1"/>
  <c r="C6" i="1"/>
  <c r="B22" i="1"/>
  <c r="B17" i="1"/>
  <c r="L2" i="5"/>
  <c r="B12" i="1"/>
  <c r="B28" i="1"/>
  <c r="I13" i="5" l="1"/>
  <c r="H12" i="5"/>
  <c r="C10" i="6" s="1"/>
  <c r="E13" i="5"/>
  <c r="E14" i="5" s="1"/>
  <c r="D7" i="6" s="1"/>
  <c r="C14" i="5"/>
  <c r="D5" i="6" s="1"/>
  <c r="E12" i="5"/>
  <c r="C7" i="6" s="1"/>
  <c r="F3" i="5"/>
  <c r="F12" i="5" s="1"/>
  <c r="C8" i="6" s="1"/>
  <c r="K12" i="5"/>
  <c r="C13" i="6" s="1"/>
  <c r="J13" i="5"/>
  <c r="J14" i="5" s="1"/>
  <c r="D12" i="6" s="1"/>
  <c r="D14" i="5"/>
  <c r="D6" i="6" s="1"/>
  <c r="K13" i="5"/>
  <c r="K14" i="5" s="1"/>
  <c r="D13" i="6" s="1"/>
  <c r="I12" i="5"/>
  <c r="C11" i="6" s="1"/>
  <c r="B32" i="1"/>
  <c r="B14" i="5"/>
  <c r="D4" i="6" s="1"/>
  <c r="L12" i="5"/>
  <c r="C14" i="6" s="1"/>
  <c r="L13" i="5"/>
  <c r="L14" i="5" s="1"/>
  <c r="D14" i="6" s="1"/>
  <c r="I14" i="5" l="1"/>
  <c r="D11" i="6" s="1"/>
  <c r="B6" i="1"/>
  <c r="H14" i="5"/>
  <c r="D10" i="6" l="1"/>
  <c r="B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Elias Chamoun</author>
  </authors>
  <commentList>
    <comment ref="H3" authorId="0" shapeId="0" xr:uid="{CEFD4AFB-BDEB-433C-8A24-CB0C3D466D90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property location/market not provided in source file. Market stats below are placeholder core-market assumptions.</t>
        </r>
      </text>
    </comment>
    <comment ref="I3" authorId="0" shapeId="0" xr:uid="{F8FF9BE5-D1A8-4629-941F-415EAB1A7CEC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property location/market not stated in pro forma. Market stats below are placeholder core-market assumptions.</t>
        </r>
      </text>
    </comment>
    <comment ref="H5" authorId="0" shapeId="0" xr:uid="{084E14B7-357E-4AF6-9812-0C44174CAA0F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Derived = NOI / assumed going-in cap.</t>
        </r>
      </text>
    </comment>
    <comment ref="I5" authorId="0" shapeId="0" xr:uid="{1CC4C945-E8C8-4DE7-9528-6704F63D1EB9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Derived = NOI / assumed going-in cap.</t>
        </r>
      </text>
    </comment>
    <comment ref="H7" authorId="0" shapeId="0" xr:uid="{4F771FAE-5103-4980-AAA7-D83C4280F12F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all-equity capitalization (matches Springfield DST archetype). No debt in source file.</t>
        </r>
      </text>
    </comment>
    <comment ref="I7" authorId="0" shapeId="0" xr:uid="{2ACD62CF-7FA1-407D-BBC5-31A528218A7A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loan balance implied by pro forma debt service ($696,636/yr) at ~6% / 30-yr amort. Balance not stated; does not affect score.</t>
        </r>
      </text>
    </comment>
    <comment ref="H9" authorId="0" shapeId="0" xr:uid="{213EEA81-5734-443E-802F-C68C3D1BFC67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going-in cap, anchored to Springfield DST comp (7.0%). Not in source file.</t>
        </r>
      </text>
    </comment>
    <comment ref="I9" authorId="0" shapeId="0" xr:uid="{8B962736-81DF-4C39-B984-81480B4449AC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going-in cap, anchored to Springfield DST comp (7.0%). Purchase price not in pro forma.</t>
        </r>
      </text>
    </comment>
    <comment ref="H10" authorId="0" shapeId="0" xr:uid="{298E07AB-9ED6-49E4-987C-F2735AFF112D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exit cap held flat to going-in (conservative). Not in source file.</t>
        </r>
      </text>
    </comment>
    <comment ref="I10" authorId="0" shapeId="0" xr:uid="{E6A87BE8-1F73-447E-AC62-A6122A312582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exit cap held flat to going-in (conservative). Not in pro forma.</t>
        </r>
      </text>
    </comment>
    <comment ref="H11" authorId="0" shapeId="0" xr:uid="{0BA4C312-53F6-4530-937E-8365EBD1AA25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REAL — FY2025 Net Operating Income from Armour_Building_2025_Monthly_Summary.xlsx (Total Revenue 1,507,315 − Total Expenses 484,848). Partial lease-up year (Jan–Feb pre-lease).</t>
        </r>
      </text>
    </comment>
    <comment ref="I11" authorId="0" shapeId="0" xr:uid="{7A7F74B8-6C34-42A9-AF7C-4B922C8E41D1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REAL — 2026 forecast Net Operating Income from '2026 Armor Operating Pro Forma' (Total Revenue 2,728,071 − Total OpEx incl. taxes/insurance 705,330).</t>
        </r>
      </text>
    </comment>
    <comment ref="H12" authorId="0" shapeId="0" xr:uid="{82C32383-53A7-40C9-B833-EBCA3A222C41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REAL — Total Expenses 484,847.99 / Total Revenue 1,507,315 = 32.2%.</t>
        </r>
      </text>
    </comment>
    <comment ref="I12" authorId="0" shapeId="0" xr:uid="{EF675AD4-3306-429C-82DD-15C5D2AEE8CE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REAL — Total Operating Expenses 705,330 / Total Revenue 2,728,071 = 25.9%.</t>
        </r>
      </text>
    </comment>
    <comment ref="H15" authorId="0" shapeId="0" xr:uid="{A6300DC3-75C8-4F56-9A3A-89364E4294DD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unlevered IRR (7% going-in + modest growth, flat exit, all-equity). Not in source file.</t>
        </r>
      </text>
    </comment>
    <comment ref="I15" authorId="0" shapeId="0" xr:uid="{F0EFC361-B4B1-436C-A659-DDA3581B6BF9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unlevered IRR (7% going-in + modest growth, flat exit). Not in pro forma.</t>
        </r>
      </text>
    </comment>
    <comment ref="H16" authorId="0" shapeId="0" xr:uid="{FF7E8748-B3EA-49F8-BD6F-8E6C98334CCC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levered IRR = unlevered (all-equity). Not in source file.</t>
        </r>
      </text>
    </comment>
    <comment ref="I16" authorId="0" shapeId="0" xr:uid="{830D8A4F-76FA-4FAF-ACA6-32097C7FB53A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levered IRR; positive leverage from ~34% LTV at ~6% debt cost. Not in pro forma.</t>
        </r>
      </text>
    </comment>
    <comment ref="H17" authorId="0" shapeId="0" xr:uid="{D0FC17D2-B0D8-47A4-8ABB-F72EC1DACF0A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net rentable SF (mid-size commercial). Not in source file.</t>
        </r>
      </text>
    </comment>
    <comment ref="I17" authorId="0" shapeId="0" xr:uid="{99458035-7009-4C7F-9994-D993459A6B73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REAL — RSF stated on pro forma (USEDC Suite 100 40,079 + Tenant Suite 200 17,087).</t>
        </r>
      </text>
    </comment>
    <comment ref="H21" authorId="0" shapeId="0" xr:uid="{38BE094C-6AD7-4026-BAD2-BDBB4E02BF4A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placeholder core-market population ≥200k. Actual market not in source file.</t>
        </r>
      </text>
    </comment>
    <comment ref="I21" authorId="0" shapeId="0" xr:uid="{211688AA-81F9-4248-A398-71792C5309E9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placeholder core-market population ≥200k. Actual market not in pro forma.</t>
        </r>
      </text>
    </comment>
    <comment ref="H22" authorId="0" shapeId="0" xr:uid="{BC1E1953-4726-49B0-B3DB-CD6B421AFA25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5-yr population growth, in line with real markets (~0.1–1.2%). Market unknown.</t>
        </r>
      </text>
    </comment>
    <comment ref="I22" authorId="0" shapeId="0" xr:uid="{3181104E-9B15-4C28-A51F-923EC7B58C45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5-yr population growth, in line with real markets (~0.1–1.2%). Market unknown.</t>
        </r>
      </text>
    </comment>
    <comment ref="H23" authorId="0" shapeId="0" xr:uid="{C337A8FD-7567-457E-A956-D963508D47F1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supply pipeline %, mid-range vs real markets. Market unknown.</t>
        </r>
      </text>
    </comment>
    <comment ref="I23" authorId="0" shapeId="0" xr:uid="{CCC9832D-2934-4EF6-A693-17B3171734F0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supply pipeline %, mid-range. Market unknown.</t>
        </r>
      </text>
    </comment>
  </commentList>
</comments>
</file>

<file path=xl/sharedStrings.xml><?xml version="1.0" encoding="utf-8"?>
<sst xmlns="http://schemas.openxmlformats.org/spreadsheetml/2006/main" count="561" uniqueCount="403">
  <si>
    <t>INVESTMENT COMMITTEE  ·  GO / NO-GO DASHBOARD</t>
  </si>
  <si>
    <t>Select a deal ▼</t>
  </si>
  <si>
    <t>Maple Grove (Candidate)</t>
  </si>
  <si>
    <t>VERDICT</t>
  </si>
  <si>
    <t>Closest archetype</t>
  </si>
  <si>
    <t>Score / 100</t>
  </si>
  <si>
    <t>Metric</t>
  </si>
  <si>
    <t>Selected deal</t>
  </si>
  <si>
    <t>Deal type</t>
  </si>
  <si>
    <t>Market (county)</t>
  </si>
  <si>
    <t>Total cost</t>
  </si>
  <si>
    <t>Equity</t>
  </si>
  <si>
    <t>Debt</t>
  </si>
  <si>
    <t>LTV</t>
  </si>
  <si>
    <t>Going-in cap</t>
  </si>
  <si>
    <t>Exit cap</t>
  </si>
  <si>
    <t>NOI</t>
  </si>
  <si>
    <t>Op-ex ratio</t>
  </si>
  <si>
    <t>Yield on cost</t>
  </si>
  <si>
    <t>Dev. spread</t>
  </si>
  <si>
    <t>Unlevered IRR</t>
  </si>
  <si>
    <t>Levered IRR</t>
  </si>
  <si>
    <t>NRSF</t>
  </si>
  <si>
    <t>Market population</t>
  </si>
  <si>
    <t>5-yr pop growth</t>
  </si>
  <si>
    <t>Supply pipeline %</t>
  </si>
  <si>
    <t>Market rank</t>
  </si>
  <si>
    <t>Best IRR (calc)</t>
  </si>
  <si>
    <t>Gate</t>
  </si>
  <si>
    <t>Points (selected)</t>
  </si>
  <si>
    <t>Max</t>
  </si>
  <si>
    <t>IRR beats exit cap</t>
  </si>
  <si>
    <t>Yield clears floor</t>
  </si>
  <si>
    <t>Op-ex in range</t>
  </si>
  <si>
    <t>Population ≥ 200k</t>
  </si>
  <si>
    <t>Positive pop growth</t>
  </si>
  <si>
    <t>Pipeline contained</t>
  </si>
  <si>
    <t>Return clears target</t>
  </si>
  <si>
    <t>Market upper half</t>
  </si>
  <si>
    <t>Size near 75k NRSF</t>
  </si>
  <si>
    <t>Income/Core (DST/Stabilized)</t>
  </si>
  <si>
    <t>Site acreage</t>
  </si>
  <si>
    <t>Units</t>
  </si>
  <si>
    <t>Springfield (DST)</t>
  </si>
  <si>
    <t>Hamburg (Dev)</t>
  </si>
  <si>
    <t>New Deal 1</t>
  </si>
  <si>
    <t>New Deal 2</t>
  </si>
  <si>
    <t>New Deal 3</t>
  </si>
  <si>
    <t>New Deal 6</t>
  </si>
  <si>
    <t>New Deal 7</t>
  </si>
  <si>
    <t>New Deal 8</t>
  </si>
  <si>
    <t>Development</t>
  </si>
  <si>
    <t>Springfield</t>
  </si>
  <si>
    <t>Hamburg</t>
  </si>
  <si>
    <t>Nashville, Tennessee</t>
  </si>
  <si>
    <t>Is development (1/0)</t>
  </si>
  <si>
    <t>Avg rate $/NRSF</t>
  </si>
  <si>
    <t>Market weighted score</t>
  </si>
  <si>
    <t>Underwriting yield (calc)</t>
  </si>
  <si>
    <t>IRR beats exit cap (max 15)</t>
  </si>
  <si>
    <t>Yield clears floor (max 15)</t>
  </si>
  <si>
    <t>Op-ex in range (max 10)</t>
  </si>
  <si>
    <t>Population ≥ 200k (max 12)</t>
  </si>
  <si>
    <t>Positive pop growth (max 10)</t>
  </si>
  <si>
    <t>Pipeline contained (max 10)</t>
  </si>
  <si>
    <t>Return clears target (max 13)</t>
  </si>
  <si>
    <t>Market upper half (max 8)</t>
  </si>
  <si>
    <t>Size near 75k NRSF (max 7)</t>
  </si>
  <si>
    <t>TOTAL SCORE</t>
  </si>
  <si>
    <t>Critical fail (1=veto)</t>
  </si>
  <si>
    <t>Deal</t>
  </si>
  <si>
    <t>Type</t>
  </si>
  <si>
    <t>Score</t>
  </si>
  <si>
    <t>Verdict</t>
  </si>
  <si>
    <t>Rank</t>
  </si>
  <si>
    <t>State</t>
  </si>
  <si>
    <t>CBSA</t>
  </si>
  <si>
    <t>County / City</t>
  </si>
  <si>
    <t>Population</t>
  </si>
  <si>
    <t>5-yr Growth</t>
  </si>
  <si>
    <t>Pipeline %</t>
  </si>
  <si>
    <t>Op-ex</t>
  </si>
  <si>
    <t>Exit Cap</t>
  </si>
  <si>
    <t>Yield/Cost</t>
  </si>
  <si>
    <t>Dev Spread</t>
  </si>
  <si>
    <t>IRR</t>
  </si>
  <si>
    <t>New York</t>
  </si>
  <si>
    <t>New York-Newark-Jersey City, NY-NJ</t>
  </si>
  <si>
    <t>Staten Island</t>
  </si>
  <si>
    <t>Maryland</t>
  </si>
  <si>
    <t>Washington-Arlington-Alexandria, DC-VA-MD-WV</t>
  </si>
  <si>
    <t>Montgomery County, Maryland</t>
  </si>
  <si>
    <t>Massachusetts</t>
  </si>
  <si>
    <t>Boston-Cambridge-Newton, MA-NH</t>
  </si>
  <si>
    <t>Suffolk County, Massachusetts</t>
  </si>
  <si>
    <t>Washington, D.C.</t>
  </si>
  <si>
    <t>Virginia</t>
  </si>
  <si>
    <t>Arlington County, Virginia</t>
  </si>
  <si>
    <t>Middlesex County, Massachusetts</t>
  </si>
  <si>
    <t>New Jersey</t>
  </si>
  <si>
    <t>Essex County, New Jersey</t>
  </si>
  <si>
    <t>Washington</t>
  </si>
  <si>
    <t>Seattle-Tacoma-Bellevue, WA</t>
  </si>
  <si>
    <t>King County, Washington</t>
  </si>
  <si>
    <t>Snohomish County, Washington</t>
  </si>
  <si>
    <t>Fairfax County, Virginia</t>
  </si>
  <si>
    <t>Barnstable Town, MA</t>
  </si>
  <si>
    <t>Barnstable County, Massachusetts</t>
  </si>
  <si>
    <t>Arizona</t>
  </si>
  <si>
    <t>Phoenix-Mesa-Chandler, AZ</t>
  </si>
  <si>
    <t>Pinal County, Arizona</t>
  </si>
  <si>
    <t>Colorado</t>
  </si>
  <si>
    <t>Denver-Aurora-Centennial, CO</t>
  </si>
  <si>
    <t>Adams County, Colorado</t>
  </si>
  <si>
    <t>Nassau County, New York</t>
  </si>
  <si>
    <t>Westchester County, New York</t>
  </si>
  <si>
    <t>Douglas County, Colorado</t>
  </si>
  <si>
    <t>Baltimore-Columbia-Towson, MD</t>
  </si>
  <si>
    <t>Howard County, Maryland</t>
  </si>
  <si>
    <t>North Carolina</t>
  </si>
  <si>
    <t>Raleigh-Cary, NC</t>
  </si>
  <si>
    <t>Wake County, North Carolina</t>
  </si>
  <si>
    <t>Minnesota</t>
  </si>
  <si>
    <t>Minneapolis-St. Paul-Bloomington, MN-WI</t>
  </si>
  <si>
    <t>Washington County, Minnesota</t>
  </si>
  <si>
    <t>Denver</t>
  </si>
  <si>
    <t>Hudson County, New Jersey</t>
  </si>
  <si>
    <t>Charlotte-Concord-Gastonia, NC-SC</t>
  </si>
  <si>
    <t>Union County, North Carolina</t>
  </si>
  <si>
    <t>Tennessee</t>
  </si>
  <si>
    <t>Nashville-Davidson--Murfreesboro--Franklin, TN</t>
  </si>
  <si>
    <t>Williamson County, Tennessee</t>
  </si>
  <si>
    <t>Maine</t>
  </si>
  <si>
    <t>Portland-South Portland, ME</t>
  </si>
  <si>
    <t>Cumberland County, Maine</t>
  </si>
  <si>
    <t>Loudoun County, Virginia</t>
  </si>
  <si>
    <t>Florida</t>
  </si>
  <si>
    <t>Gainesville, FL</t>
  </si>
  <si>
    <t>Alachua County, Florida</t>
  </si>
  <si>
    <t>South Carolina</t>
  </si>
  <si>
    <t>Charleston-North Charleston, SC</t>
  </si>
  <si>
    <t>Charleston County, South Carolina</t>
  </si>
  <si>
    <t>Davidson County, Tennessee</t>
  </si>
  <si>
    <t>Prince George's County, Maryland</t>
  </si>
  <si>
    <t>Johnston County, North Carolina</t>
  </si>
  <si>
    <t>Norfolk County, Massachusetts</t>
  </si>
  <si>
    <t>Berkeley County, South Carolina</t>
  </si>
  <si>
    <t>Texas</t>
  </si>
  <si>
    <t>Austin-Round Rock-San Marcos, TX</t>
  </si>
  <si>
    <t>Hays County, Texas</t>
  </si>
  <si>
    <t>Clarksville, TN-KY</t>
  </si>
  <si>
    <t>Montgomery County, Tennessee</t>
  </si>
  <si>
    <t>Duluth, MN-WI</t>
  </si>
  <si>
    <t>St. Louis County, Minnesota</t>
  </si>
  <si>
    <t>Passaic County, New Jersey</t>
  </si>
  <si>
    <t>Bellingham, WA</t>
  </si>
  <si>
    <t>Whatcom County, Washington</t>
  </si>
  <si>
    <t>Michigan</t>
  </si>
  <si>
    <t>Detroit-Warren-Dearborn, MI</t>
  </si>
  <si>
    <t>Wayne County, Michigan</t>
  </si>
  <si>
    <t>College Station-Bryan, TX</t>
  </si>
  <si>
    <t>Brazos County, Texas</t>
  </si>
  <si>
    <t>Travis County, Texas</t>
  </si>
  <si>
    <t>Bremerton-Silverdale-Port Orchard, WA</t>
  </si>
  <si>
    <t>Kitsap County, Washington</t>
  </si>
  <si>
    <t>Alabama</t>
  </si>
  <si>
    <t>Tuscaloosa, AL</t>
  </si>
  <si>
    <t>Tuscaloosa County, Alabama</t>
  </si>
  <si>
    <t>Kentucky</t>
  </si>
  <si>
    <t>Lexington-Fayette, KY</t>
  </si>
  <si>
    <t>Fayette County, Kentucky</t>
  </si>
  <si>
    <t>Frederick County, Maryland</t>
  </si>
  <si>
    <t>Indiana</t>
  </si>
  <si>
    <t>Indianapolis-Carmel-Greenwood, IN</t>
  </si>
  <si>
    <t>Hamilton County, Indiana</t>
  </si>
  <si>
    <t>Richmond, VA</t>
  </si>
  <si>
    <t>Henrico County, Virginia</t>
  </si>
  <si>
    <t>Oregon</t>
  </si>
  <si>
    <t>Portland-Vancouver-Hillsboro, OR-WA</t>
  </si>
  <si>
    <t>Clackamas County, Oregon</t>
  </si>
  <si>
    <t>Wisconsin</t>
  </si>
  <si>
    <t>Madison, WI</t>
  </si>
  <si>
    <t>Dane County, Wisconsin</t>
  </si>
  <si>
    <t>Rhode Island</t>
  </si>
  <si>
    <t>Providence-Warwick, RI-MA</t>
  </si>
  <si>
    <t>Providence County, Rhode Island</t>
  </si>
  <si>
    <t>Washington County, Oregon</t>
  </si>
  <si>
    <t>Pennsylvania</t>
  </si>
  <si>
    <t>Scranton--Wilkes-Barre, PA</t>
  </si>
  <si>
    <t>Luzerne County, Pennsylvania</t>
  </si>
  <si>
    <t>Lakeland-Winter Haven, FL</t>
  </si>
  <si>
    <t>Polk County, Florida</t>
  </si>
  <si>
    <t>Allentown-Bethlehem-Easton, PA-NJ</t>
  </si>
  <si>
    <t>Northampton County, Pennsylvania</t>
  </si>
  <si>
    <t>Illinois</t>
  </si>
  <si>
    <t>Champaign-Urbana, IL</t>
  </si>
  <si>
    <t>Champaign County, Illinois</t>
  </si>
  <si>
    <t>Ramsey County, Minnesota</t>
  </si>
  <si>
    <t>Jacksonville, FL</t>
  </si>
  <si>
    <t>St. Johns County, Florida</t>
  </si>
  <si>
    <t>Salem, OR</t>
  </si>
  <si>
    <t>Marion County, Oregon</t>
  </si>
  <si>
    <t>Rochester, NY</t>
  </si>
  <si>
    <t>Monroe County, New York</t>
  </si>
  <si>
    <t>Orlando-Kissimmee-Sanford, FL</t>
  </si>
  <si>
    <t>Lake County, Florida</t>
  </si>
  <si>
    <t>Connecticut</t>
  </si>
  <si>
    <t>Norwich-New London-Willimantic, CT</t>
  </si>
  <si>
    <t>Southeastern Connecticut Planning Region</t>
  </si>
  <si>
    <t>County</t>
  </si>
  <si>
    <t>Growth5yr</t>
  </si>
  <si>
    <t>Pipeline</t>
  </si>
  <si>
    <t>Plymouth County, Massachusetts</t>
  </si>
  <si>
    <t>Washtenaw County, Michigan</t>
  </si>
  <si>
    <t>Denton County, Texas</t>
  </si>
  <si>
    <t>Western Connecticut Planning Region</t>
  </si>
  <si>
    <t>Naugatuck Valley Planning Region</t>
  </si>
  <si>
    <t>Cumberland County, Pennsylvania</t>
  </si>
  <si>
    <t>Forsyth County, North Carolina</t>
  </si>
  <si>
    <t>Bergen County, New Jersey</t>
  </si>
  <si>
    <t>Ingham County, Michigan</t>
  </si>
  <si>
    <t>Waukesha County, Wisconsin</t>
  </si>
  <si>
    <t>Buncombe County, North Carolina</t>
  </si>
  <si>
    <t>Thurston County, Washington</t>
  </si>
  <si>
    <t>Harford County, Maryland</t>
  </si>
  <si>
    <t>Richland County, South Carolina</t>
  </si>
  <si>
    <t>Erie County, Pennsylvania</t>
  </si>
  <si>
    <t>Hillsborough County, Florida</t>
  </si>
  <si>
    <t>Leon County, Florida</t>
  </si>
  <si>
    <t>Oakland County, Michigan</t>
  </si>
  <si>
    <t>Lancaster County, Nebraska</t>
  </si>
  <si>
    <t>Delaware County, Pennsylvania</t>
  </si>
  <si>
    <t>Cook County, Illinois</t>
  </si>
  <si>
    <t>Onslow County, North Carolina</t>
  </si>
  <si>
    <t>Weld County, Colorado</t>
  </si>
  <si>
    <t>Dauphin County, Pennsylvania</t>
  </si>
  <si>
    <t>Baltimore County, Maryland</t>
  </si>
  <si>
    <t>Dakota County, Minnesota</t>
  </si>
  <si>
    <t>Spartanburg County, South Carolina</t>
  </si>
  <si>
    <t>Anderson County, South Carolina</t>
  </si>
  <si>
    <t>Boulder County, Colorado</t>
  </si>
  <si>
    <t>Ottawa County, Michigan</t>
  </si>
  <si>
    <t>Monmouth County, New Jersey</t>
  </si>
  <si>
    <t>Lancaster County, Pennsylvania</t>
  </si>
  <si>
    <t>Utah County, Utah</t>
  </si>
  <si>
    <t>Essex County, Massachusetts</t>
  </si>
  <si>
    <t>Linn County, Iowa</t>
  </si>
  <si>
    <t>Anne Arundel County, Maryland</t>
  </si>
  <si>
    <t>Benton County, Washington</t>
  </si>
  <si>
    <t>Chesterfield County, Virginia</t>
  </si>
  <si>
    <t>Jackson County, Missouri</t>
  </si>
  <si>
    <t>Baltimore</t>
  </si>
  <si>
    <t>Macomb County, Michigan</t>
  </si>
  <si>
    <t>Lane County, Oregon</t>
  </si>
  <si>
    <t>Rockland County, New York</t>
  </si>
  <si>
    <t>Rockingham County, New Hampshire</t>
  </si>
  <si>
    <t>Orange County, Florida</t>
  </si>
  <si>
    <t>Mecklenburg County, North Carolina</t>
  </si>
  <si>
    <t>Pima County, Arizona</t>
  </si>
  <si>
    <t>Multnomah County, Oregon</t>
  </si>
  <si>
    <t>New Castle County, Delaware</t>
  </si>
  <si>
    <t>Hamilton County, Ohio</t>
  </si>
  <si>
    <t>Kent County, Michigan</t>
  </si>
  <si>
    <t>Durham County, North Carolina</t>
  </si>
  <si>
    <t>Pierce County, Washington</t>
  </si>
  <si>
    <t>Somerset County, New Jersey</t>
  </si>
  <si>
    <t>Allegheny County, Pennsylvania</t>
  </si>
  <si>
    <t>Ellis County, Texas</t>
  </si>
  <si>
    <t>Pinellas County, Florida</t>
  </si>
  <si>
    <t>Morris County, New Jersey</t>
  </si>
  <si>
    <t>Deschutes County, Oregon</t>
  </si>
  <si>
    <t>Yuma County, Arizona</t>
  </si>
  <si>
    <t>South Central Connecticut Planning Region</t>
  </si>
  <si>
    <t>Washington County, Pennsylvania</t>
  </si>
  <si>
    <t>Fulton County, Georgia</t>
  </si>
  <si>
    <t>Hennepin County, Minnesota</t>
  </si>
  <si>
    <t>Comal County, Texas</t>
  </si>
  <si>
    <t>Lehigh County, Pennsylvania</t>
  </si>
  <si>
    <t>Kalamazoo County, Michigan</t>
  </si>
  <si>
    <t>Worcester County, Massachusetts</t>
  </si>
  <si>
    <t>Hidalgo County, Texas</t>
  </si>
  <si>
    <t>Guilford County, North Carolina</t>
  </si>
  <si>
    <t>Dallas County, Texas</t>
  </si>
  <si>
    <t>El Paso County, Texas</t>
  </si>
  <si>
    <t>Mercer County, New Jersey</t>
  </si>
  <si>
    <t>Seminole County, Florida</t>
  </si>
  <si>
    <t>Clay County, Missouri</t>
  </si>
  <si>
    <t>Suffolk County, New York</t>
  </si>
  <si>
    <t>Niagara County, New York</t>
  </si>
  <si>
    <t>Berks County, Pennsylvania</t>
  </si>
  <si>
    <t>Middlesex County, New Jersey</t>
  </si>
  <si>
    <t>Cuyahoga County, Ohio</t>
  </si>
  <si>
    <t>Richmond, Virginia</t>
  </si>
  <si>
    <t>Yakima County, Washington</t>
  </si>
  <si>
    <t>St. Louis County, Missouri</t>
  </si>
  <si>
    <t>Shelby County, Alabama</t>
  </si>
  <si>
    <t>Duval County, Florida</t>
  </si>
  <si>
    <t>Spokane County, Washington</t>
  </si>
  <si>
    <t>Jefferson Parish, Louisiana</t>
  </si>
  <si>
    <t>Greene County, Missouri</t>
  </si>
  <si>
    <t>Webb County, Texas</t>
  </si>
  <si>
    <t>Sedgwick County, Kansas</t>
  </si>
  <si>
    <t>Onondaga County, New York</t>
  </si>
  <si>
    <t>Doña Ana County, New Mexico</t>
  </si>
  <si>
    <t>DuPage County, Illinois</t>
  </si>
  <si>
    <t>York County, South Carolina</t>
  </si>
  <si>
    <t>Sumner County, Tennessee</t>
  </si>
  <si>
    <t>Chesapeake, Virginia</t>
  </si>
  <si>
    <t>Bernalillo County, New Mexico</t>
  </si>
  <si>
    <t>Pasco County, Florida</t>
  </si>
  <si>
    <t>Hillsborough County, New Hampshire</t>
  </si>
  <si>
    <t>Davis County, Utah</t>
  </si>
  <si>
    <t>Washoe County, Nevada</t>
  </si>
  <si>
    <t>Hinds County, Mississippi</t>
  </si>
  <si>
    <t>Knox County, Tennessee</t>
  </si>
  <si>
    <t>Washington County, Utah</t>
  </si>
  <si>
    <t>Collier County, Florida</t>
  </si>
  <si>
    <t>Greenville County, South Carolina</t>
  </si>
  <si>
    <t>Yavapai County, Arizona</t>
  </si>
  <si>
    <t>Oneida County, New York</t>
  </si>
  <si>
    <t>Jackson County, Oregon</t>
  </si>
  <si>
    <t>Chester County, Pennsylvania</t>
  </si>
  <si>
    <t>Lackawanna County, Pennsylvania</t>
  </si>
  <si>
    <t>DeKalb County, Georgia</t>
  </si>
  <si>
    <t>Allen County, Indiana</t>
  </si>
  <si>
    <t>East Baton Rouge Parish, Louisiana</t>
  </si>
  <si>
    <t>Galveston County, Texas</t>
  </si>
  <si>
    <t>Westmoreland County, Pennsylvania</t>
  </si>
  <si>
    <t>New Hanover County, North Carolina</t>
  </si>
  <si>
    <t>Maricopa County, Arizona</t>
  </si>
  <si>
    <t>Jefferson County, Alabama</t>
  </si>
  <si>
    <t>Will County, Illinois</t>
  </si>
  <si>
    <t>Montgomery County, Pennsylvania</t>
  </si>
  <si>
    <t>Rutherford County, Tennessee</t>
  </si>
  <si>
    <t>Clermont County, Ohio</t>
  </si>
  <si>
    <t>Dutchess County, New York</t>
  </si>
  <si>
    <t>Bristol County, Massachusetts</t>
  </si>
  <si>
    <t>Jefferson County, Kentucky</t>
  </si>
  <si>
    <t>Lafayette Parish, Louisiana</t>
  </si>
  <si>
    <t>Henry County, Georgia</t>
  </si>
  <si>
    <t>Capitol Planning Region</t>
  </si>
  <si>
    <t>St. Lucie County, Florida</t>
  </si>
  <si>
    <t>Montgomery County, Ohio</t>
  </si>
  <si>
    <t>Canyon County, Idaho</t>
  </si>
  <si>
    <t>Bucks County, Pennsylvania</t>
  </si>
  <si>
    <t>McLennan County, Texas</t>
  </si>
  <si>
    <t>Albany County, New York</t>
  </si>
  <si>
    <t>Clark County, Washington</t>
  </si>
  <si>
    <t>Larimer County, Colorado</t>
  </si>
  <si>
    <t>Chatham County, Georgia</t>
  </si>
  <si>
    <t>Cabarrus County, North Carolina</t>
  </si>
  <si>
    <t>Erie County, New York</t>
  </si>
  <si>
    <t>Cameron County, Texas</t>
  </si>
  <si>
    <t>Lake County, Indiana</t>
  </si>
  <si>
    <t>Smith County, Texas</t>
  </si>
  <si>
    <t>Jefferson County, Texas</t>
  </si>
  <si>
    <t>New Orleans</t>
  </si>
  <si>
    <t>Volusia County, Florida</t>
  </si>
  <si>
    <t>Stark County, Ohio</t>
  </si>
  <si>
    <t>Summit County, Ohio</t>
  </si>
  <si>
    <t>Union County, New Jersey</t>
  </si>
  <si>
    <t>Ocean County, New Jersey</t>
  </si>
  <si>
    <t>Orange County, New York</t>
  </si>
  <si>
    <t>Tulsa County, Oklahoma</t>
  </si>
  <si>
    <t>Madison County, Illinois</t>
  </si>
  <si>
    <t>Lubbock County, Texas</t>
  </si>
  <si>
    <t>Calcasieu Parish, Louisiana</t>
  </si>
  <si>
    <t>Sussex County, Delaware</t>
  </si>
  <si>
    <t>Beaufort County, South Carolina</t>
  </si>
  <si>
    <t>Lucas County, Ohio</t>
  </si>
  <si>
    <t>Weber County, Utah</t>
  </si>
  <si>
    <t>Manatee County, Florida</t>
  </si>
  <si>
    <t>Prince William County, Virginia</t>
  </si>
  <si>
    <t>Cumberland County, North Carolina</t>
  </si>
  <si>
    <t>Hampden County, Massachusetts</t>
  </si>
  <si>
    <t>Burlington County, New Jersey</t>
  </si>
  <si>
    <t>St. Tammany Parish, Louisiana</t>
  </si>
  <si>
    <t>Brown County, Wisconsin</t>
  </si>
  <si>
    <t>Marion County, Florida</t>
  </si>
  <si>
    <t>Ada County, Idaho</t>
  </si>
  <si>
    <t>Caddo Parish, Louisiana</t>
  </si>
  <si>
    <t>Virginia Beach, Virginia</t>
  </si>
  <si>
    <t>Gloucester County, New Jersey</t>
  </si>
  <si>
    <t>Muscogee County, Georgia</t>
  </si>
  <si>
    <t>Jefferson County, Missouri</t>
  </si>
  <si>
    <t>Jefferson County, Colorado</t>
  </si>
  <si>
    <t>Saratoga County, New York</t>
  </si>
  <si>
    <t>Mohave County, Arizona</t>
  </si>
  <si>
    <t>Philadelphia County, Pennsylvania</t>
  </si>
  <si>
    <t>St. Louis</t>
  </si>
  <si>
    <t>Harrison County, Mississippi</t>
  </si>
  <si>
    <t>Brevard County, Florida</t>
  </si>
  <si>
    <t>Norfolk, Virginia</t>
  </si>
  <si>
    <t>Mobile County, Alabama</t>
  </si>
  <si>
    <t>York County, Maine</t>
  </si>
  <si>
    <t>Atlantic County, New Jersey</t>
  </si>
  <si>
    <t>Greater Bridgeport Planning Region</t>
  </si>
  <si>
    <t>Baldwin County, Alabama</t>
  </si>
  <si>
    <t>Armour Building</t>
  </si>
  <si>
    <t>Assumed core market (≥200k metro)</t>
  </si>
  <si>
    <t xml:space="preserve">Instruction </t>
  </si>
  <si>
    <t xml:space="preserve">Go/No-Go Ranking </t>
  </si>
  <si>
    <t>Armor (USEDC HQ)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</si>
</sst>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$#,##0"/>
    <numFmt numFmtId="165" formatCode="0.0%"/>
    <numFmt numFmtId="166" formatCode="0.000"/>
  </numFmts>
  <fonts count="13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rgb="FFFFFFFF"/>
      <name val="Calibri"/>
    </font>
    <font>
      <b/>
      <sz val="16"/>
      <color rgb="FFFFFFFF"/>
      <name val="Calibri"/>
    </font>
    <font>
      <b/>
      <sz val="12"/>
      <name val="Calibri"/>
    </font>
    <font>
      <sz val="11"/>
      <color rgb="FFFFFFFF"/>
      <name val="Calibri"/>
    </font>
    <font>
      <b/>
      <sz val="14"/>
      <name val="Calibri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name val="Calibri"/>
      <family val="2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F3A5F"/>
      </patternFill>
    </fill>
    <fill>
      <patternFill patternType="solid">
        <fgColor rgb="FFF2F2F2"/>
      </patternFill>
    </fill>
    <fill>
      <patternFill patternType="solid">
        <fgColor rgb="FFFFF2CC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5" fillId="0" borderId="0" xfId="0" applyFont="1" applyAlignment="1">
      <alignment horizontal="center" vertical="center"/>
    </xf>
    <xf numFmtId="0" fontId="5" fillId="0" borderId="0" xfId="0" applyFont="1"/>
    <xf numFmtId="0" fontId="1" fillId="3" borderId="1" xfId="0" applyFont="1" applyFill="1" applyBorder="1" applyAlignment="1">
      <alignment horizontal="left" vertical="center" wrapText="1"/>
    </xf>
    <xf numFmtId="0" fontId="4" fillId="4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166" fontId="0" fillId="0" borderId="1" xfId="0" applyNumberFormat="1" applyBorder="1" applyAlignment="1">
      <alignment horizontal="center" vertical="center"/>
    </xf>
    <xf numFmtId="0" fontId="1" fillId="0" borderId="1" xfId="0" applyFont="1" applyBorder="1"/>
    <xf numFmtId="0" fontId="3" fillId="2" borderId="0" xfId="0" applyFont="1" applyFill="1" applyAlignment="1">
      <alignment horizontal="center" vertical="center"/>
    </xf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3" borderId="2" xfId="0" applyFont="1" applyFill="1" applyBorder="1" applyAlignment="1">
      <alignment horizontal="left" vertical="center" wrapText="1"/>
    </xf>
    <xf numFmtId="0" fontId="0" fillId="0" borderId="2" xfId="0" applyFill="1" applyBorder="1" applyAlignment="1">
      <alignment horizontal="center" vertical="center"/>
    </xf>
    <xf numFmtId="164" fontId="0" fillId="0" borderId="2" xfId="0" applyNumberFormat="1" applyFill="1" applyBorder="1" applyAlignment="1">
      <alignment horizontal="center" vertical="center"/>
    </xf>
    <xf numFmtId="165" fontId="0" fillId="0" borderId="2" xfId="0" applyNumberFormat="1" applyFill="1" applyBorder="1" applyAlignment="1">
      <alignment horizontal="center" vertical="center"/>
    </xf>
    <xf numFmtId="3" fontId="0" fillId="0" borderId="2" xfId="0" applyNumberFormat="1" applyFill="1" applyBorder="1" applyAlignment="1">
      <alignment horizontal="center" vertical="center"/>
    </xf>
    <xf numFmtId="0" fontId="0" fillId="0" borderId="3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7" fillId="5" borderId="4" xfId="0" applyFont="1" applyFill="1" applyBorder="1"/>
    <xf numFmtId="0" fontId="7" fillId="5" borderId="5" xfId="0" applyFont="1" applyFill="1" applyBorder="1"/>
    <xf numFmtId="0" fontId="7" fillId="5" borderId="6" xfId="0" applyFont="1" applyFill="1" applyBorder="1"/>
    <xf numFmtId="0" fontId="2" fillId="2" borderId="2" xfId="0" applyFont="1" applyFill="1" applyBorder="1" applyAlignment="1">
      <alignment horizontal="left" vertical="center" wrapText="1"/>
    </xf>
    <xf numFmtId="0" fontId="12" fillId="6" borderId="2" xfId="0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1" fontId="12" fillId="6" borderId="2" xfId="0" applyNumberFormat="1" applyFont="1" applyFill="1" applyBorder="1" applyAlignment="1">
      <alignment horizontal="center" vertical="center"/>
    </xf>
    <xf numFmtId="1" fontId="0" fillId="0" borderId="2" xfId="0" applyNumberFormat="1" applyFill="1" applyBorder="1" applyAlignment="1">
      <alignment horizontal="center" vertical="center"/>
    </xf>
    <xf numFmtId="1" fontId="12" fillId="0" borderId="2" xfId="0" applyNumberFormat="1" applyFont="1" applyFill="1" applyBorder="1" applyAlignment="1">
      <alignment horizontal="center" vertical="center"/>
    </xf>
    <xf numFmtId="164" fontId="12" fillId="6" borderId="2" xfId="0" applyNumberFormat="1" applyFont="1" applyFill="1" applyBorder="1" applyAlignment="1">
      <alignment horizontal="center" vertical="center"/>
    </xf>
    <xf numFmtId="164" fontId="12" fillId="0" borderId="2" xfId="0" applyNumberFormat="1" applyFont="1" applyFill="1" applyBorder="1" applyAlignment="1">
      <alignment horizontal="center" vertical="center"/>
    </xf>
    <xf numFmtId="165" fontId="12" fillId="6" borderId="2" xfId="0" applyNumberFormat="1" applyFont="1" applyFill="1" applyBorder="1" applyAlignment="1">
      <alignment horizontal="center" vertical="center"/>
    </xf>
    <xf numFmtId="165" fontId="12" fillId="0" borderId="2" xfId="0" applyNumberFormat="1" applyFont="1" applyFill="1" applyBorder="1" applyAlignment="1">
      <alignment horizontal="center" vertical="center"/>
    </xf>
    <xf numFmtId="3" fontId="12" fillId="6" borderId="2" xfId="0" applyNumberFormat="1" applyFont="1" applyFill="1" applyBorder="1" applyAlignment="1">
      <alignment horizontal="center" vertical="center"/>
    </xf>
    <xf numFmtId="3" fontId="12" fillId="0" borderId="2" xfId="0" applyNumberFormat="1" applyFont="1" applyFill="1" applyBorder="1" applyAlignment="1">
      <alignment horizontal="center" vertical="center"/>
    </xf>
    <xf numFmtId="4" fontId="12" fillId="6" borderId="2" xfId="0" applyNumberFormat="1" applyFont="1" applyFill="1" applyBorder="1" applyAlignment="1">
      <alignment horizontal="center" vertical="center"/>
    </xf>
    <xf numFmtId="4" fontId="0" fillId="0" borderId="2" xfId="0" applyNumberForma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0" fontId="10" fillId="0" borderId="0" xfId="0" applyFont="1"/>
    <xf numFmtId="0" fontId="11" fillId="0" borderId="2" xfId="0" applyFont="1" applyFill="1" applyBorder="1" applyAlignment="1">
      <alignment horizontal="center" vertical="center"/>
    </xf>
    <xf numFmtId="164" fontId="11" fillId="0" borderId="2" xfId="0" applyNumberFormat="1" applyFont="1" applyFill="1" applyBorder="1" applyAlignment="1">
      <alignment horizontal="center" vertical="center"/>
    </xf>
    <xf numFmtId="165" fontId="11" fillId="0" borderId="2" xfId="0" applyNumberFormat="1" applyFont="1" applyFill="1" applyBorder="1" applyAlignment="1">
      <alignment horizontal="center" vertical="center"/>
    </xf>
    <xf numFmtId="3" fontId="11" fillId="0" borderId="2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1">
    <dxf>
      <font>
        <b/>
        <color rgb="FF9C0006"/>
      </font>
      <fill>
        <patternFill patternType="solid">
          <fgColor rgb="FFFFC7CE"/>
        </patternFill>
      </fill>
    </dxf>
    <dxf>
      <font>
        <b/>
        <color rgb="FF9C6500"/>
      </font>
      <fill>
        <patternFill patternType="solid">
          <fgColor rgb="FFFFEB9C"/>
        </patternFill>
      </fill>
    </dxf>
    <dxf>
      <font>
        <b/>
        <color rgb="FF006100"/>
      </font>
      <fill>
        <patternFill patternType="solid">
          <fgColor rgb="FFC6EFCE"/>
        </patternFill>
      </fill>
    </dxf>
    <dxf>
      <font>
        <b/>
        <color rgb="FF9C0006"/>
      </font>
      <fill>
        <patternFill patternType="solid">
          <fgColor rgb="FFFFC7CE"/>
        </patternFill>
      </fill>
    </dxf>
    <dxf>
      <font>
        <b/>
        <color rgb="FF9C6500"/>
      </font>
      <fill>
        <patternFill patternType="solid">
          <fgColor rgb="FFFFEB9C"/>
        </patternFill>
      </fill>
    </dxf>
    <dxf>
      <font>
        <b/>
        <color rgb="FF006100"/>
      </font>
      <fill>
        <patternFill patternType="solid">
          <fgColor rgb="FFC6EFCE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C6EFCE"/>
        </patternFill>
      </fill>
    </dxf>
    <dxf>
      <font>
        <b/>
        <color rgb="FF9C0006"/>
      </font>
      <fill>
        <patternFill patternType="solid">
          <fgColor rgb="FFFFC7CE"/>
        </patternFill>
      </fill>
    </dxf>
    <dxf>
      <font>
        <b/>
        <color rgb="FF9C6500"/>
      </font>
      <fill>
        <patternFill patternType="solid">
          <fgColor rgb="FFFFEB9C"/>
        </patternFill>
      </fill>
    </dxf>
    <dxf>
      <font>
        <b/>
        <color rgb="FF006100"/>
      </font>
      <fill>
        <patternFill patternType="solid">
          <f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6350</xdr:rowOff>
    </xdr:from>
    <xdr:to>
      <xdr:col>4</xdr:col>
      <xdr:colOff>600074</xdr:colOff>
      <xdr:row>7</xdr:row>
      <xdr:rowOff>126999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529B271-EF51-F5A5-2835-D124881E05A4}"/>
            </a:ext>
          </a:extLst>
        </xdr:cNvPr>
        <xdr:cNvSpPr txBox="1"/>
      </xdr:nvSpPr>
      <xdr:spPr>
        <a:xfrm>
          <a:off x="0" y="187325"/>
          <a:ext cx="3038474" cy="1206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Attach any deal, copy and paste the prompt below into the claude dropdown, Claude's Agents will determine if the deal is a GO or NO GO based on the comparion of previous deals. Deals will appear in the Dashboard, Deals,</a:t>
          </a:r>
          <a:r>
            <a:rPr lang="en-US" sz="1100" baseline="0"/>
            <a:t> Score and Ranking Sheets. </a:t>
          </a:r>
          <a:endParaRPr lang="en-US" sz="1100"/>
        </a:p>
      </xdr:txBody>
    </xdr:sp>
    <xdr:clientData/>
  </xdr:twoCellAnchor>
  <xdr:twoCellAnchor>
    <xdr:from>
      <xdr:col>0</xdr:col>
      <xdr:colOff>1</xdr:colOff>
      <xdr:row>7</xdr:row>
      <xdr:rowOff>120650</xdr:rowOff>
    </xdr:from>
    <xdr:to>
      <xdr:col>5</xdr:col>
      <xdr:colOff>1</xdr:colOff>
      <xdr:row>10</xdr:row>
      <xdr:rowOff>19050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E9A4F9F-EC21-A9DE-C11F-305AB8EF9803}"/>
            </a:ext>
          </a:extLst>
        </xdr:cNvPr>
        <xdr:cNvSpPr txBox="1"/>
      </xdr:nvSpPr>
      <xdr:spPr>
        <a:xfrm>
          <a:off x="1" y="1387475"/>
          <a:ext cx="3048000" cy="860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Make this deal 1,2,3,4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etc.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decide if its a go or no go </a:t>
          </a:r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7DFED87-43BE-40BE-887B-4BBE55E538E4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de9d3668-bc06-4b19-8680-cd1b19437beb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10F72-55C8-41BD-8BBC-B0510E7C8CA1}">
  <dimension ref="A1:E11"/>
  <sheetViews>
    <sheetView showGridLines="0" workbookViewId="0">
      <selection activeCell="Q12" sqref="Q12:Q13"/>
    </sheetView>
  </sheetViews>
  <sheetFormatPr defaultRowHeight="14.5" x14ac:dyDescent="0.35"/>
  <sheetData>
    <row r="1" spans="1:5" x14ac:dyDescent="0.35">
      <c r="A1" s="35" t="s">
        <v>400</v>
      </c>
      <c r="B1" s="36"/>
      <c r="C1" s="36"/>
      <c r="D1" s="36"/>
      <c r="E1" s="37"/>
    </row>
    <row r="2" spans="1:5" x14ac:dyDescent="0.35">
      <c r="A2" s="30"/>
      <c r="B2" s="31"/>
      <c r="C2" s="31"/>
      <c r="D2" s="31"/>
      <c r="E2" s="32"/>
    </row>
    <row r="3" spans="1:5" x14ac:dyDescent="0.35">
      <c r="A3" s="30"/>
      <c r="B3" s="31"/>
      <c r="C3" s="31"/>
      <c r="D3" s="31"/>
      <c r="E3" s="32"/>
    </row>
    <row r="4" spans="1:5" x14ac:dyDescent="0.35">
      <c r="A4" s="30"/>
      <c r="B4" s="31"/>
      <c r="C4" s="31"/>
      <c r="D4" s="31"/>
      <c r="E4" s="32"/>
    </row>
    <row r="5" spans="1:5" x14ac:dyDescent="0.35">
      <c r="A5" s="30"/>
      <c r="B5" s="31"/>
      <c r="C5" s="31"/>
      <c r="D5" s="31"/>
      <c r="E5" s="32"/>
    </row>
    <row r="6" spans="1:5" x14ac:dyDescent="0.35">
      <c r="A6" s="30"/>
      <c r="B6" s="31"/>
      <c r="C6" s="31"/>
      <c r="D6" s="31"/>
      <c r="E6" s="32"/>
    </row>
    <row r="7" spans="1:5" x14ac:dyDescent="0.35">
      <c r="A7" s="30"/>
      <c r="B7" s="31"/>
      <c r="C7" s="31"/>
      <c r="D7" s="31"/>
      <c r="E7" s="32"/>
    </row>
    <row r="8" spans="1:5" x14ac:dyDescent="0.35">
      <c r="A8" s="30"/>
      <c r="B8" s="31"/>
      <c r="C8" s="31"/>
      <c r="D8" s="31"/>
      <c r="E8" s="32"/>
    </row>
    <row r="9" spans="1:5" x14ac:dyDescent="0.35">
      <c r="A9" s="30"/>
      <c r="B9" s="31"/>
      <c r="C9" s="31"/>
      <c r="D9" s="31"/>
      <c r="E9" s="32"/>
    </row>
    <row r="10" spans="1:5" ht="47.5" customHeight="1" x14ac:dyDescent="0.35">
      <c r="A10" s="33"/>
      <c r="B10" s="29"/>
      <c r="C10" s="29"/>
      <c r="D10" s="29"/>
      <c r="E10" s="34"/>
    </row>
    <row r="11" spans="1:5" ht="52" customHeight="1" x14ac:dyDescent="0.3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0"/>
  <sheetViews>
    <sheetView showGridLines="0" tabSelected="1" workbookViewId="0">
      <selection activeCell="E39" sqref="E39"/>
    </sheetView>
  </sheetViews>
  <sheetFormatPr defaultRowHeight="14.5" x14ac:dyDescent="0.35"/>
  <cols>
    <col min="1" max="1" width="20.453125" customWidth="1"/>
    <col min="2" max="2" width="32.453125" customWidth="1"/>
    <col min="3" max="3" width="26.54296875" bestFit="1" customWidth="1"/>
    <col min="4" max="4" width="13.7265625" bestFit="1" customWidth="1"/>
    <col min="5" max="5" width="19" customWidth="1"/>
    <col min="8" max="8" width="13" hidden="1" customWidth="1"/>
    <col min="10" max="10" width="13" hidden="1" customWidth="1"/>
  </cols>
  <sheetData>
    <row r="1" spans="1:10" ht="30" customHeight="1" x14ac:dyDescent="0.35">
      <c r="A1" s="18" t="s">
        <v>0</v>
      </c>
      <c r="B1" s="19"/>
      <c r="C1" s="19"/>
      <c r="D1" s="19"/>
      <c r="E1" s="19"/>
      <c r="H1" s="1">
        <f>MATCH($B$3,Deals!$1:$1,0)</f>
        <v>9</v>
      </c>
      <c r="J1" s="2" t="str">
        <f>Deals!B1</f>
        <v>Springfield (DST)</v>
      </c>
    </row>
    <row r="2" spans="1:10" x14ac:dyDescent="0.35">
      <c r="J2" s="2" t="str">
        <f>Deals!C1</f>
        <v>Hamburg (Dev)</v>
      </c>
    </row>
    <row r="3" spans="1:10" ht="15.5" x14ac:dyDescent="0.35">
      <c r="A3" s="3" t="s">
        <v>1</v>
      </c>
      <c r="B3" s="4" t="s">
        <v>402</v>
      </c>
      <c r="J3" s="2" t="str">
        <f>Deals!D1</f>
        <v>Maple Grove (Candidate)</v>
      </c>
    </row>
    <row r="4" spans="1:10" x14ac:dyDescent="0.35">
      <c r="J4" s="2" t="str">
        <f>Deals!E1</f>
        <v>New Deal 1</v>
      </c>
    </row>
    <row r="5" spans="1:10" ht="18.5" x14ac:dyDescent="0.35">
      <c r="A5" s="5" t="s">
        <v>3</v>
      </c>
      <c r="B5" s="6" t="str">
        <f>INDEX(Scores!$A$1:$L$14,14,$H$1)</f>
        <v>GO</v>
      </c>
      <c r="C5" s="5" t="s">
        <v>4</v>
      </c>
      <c r="J5" s="2" t="str">
        <f>Deals!F1</f>
        <v>New Deal 2</v>
      </c>
    </row>
    <row r="6" spans="1:10" ht="18.5" x14ac:dyDescent="0.35">
      <c r="A6" s="5" t="s">
        <v>5</v>
      </c>
      <c r="B6" s="6">
        <f>INDEX(Scores!$A$1:$L$14,12,$H$1)</f>
        <v>72</v>
      </c>
      <c r="C6" s="7" t="str">
        <f>IF(INDEX(Deals!$A$1:$L$27,4,$H$1)=1,"Hamburg (Development)","Springfield (Income/Core)")</f>
        <v>Springfield (Income/Core)</v>
      </c>
      <c r="J6" s="2" t="str">
        <f>Deals!G1</f>
        <v>New Deal 3</v>
      </c>
    </row>
    <row r="7" spans="1:10" x14ac:dyDescent="0.35">
      <c r="J7" s="2" t="str">
        <f>Deals!H1</f>
        <v>Armour Building</v>
      </c>
    </row>
    <row r="8" spans="1:10" x14ac:dyDescent="0.35">
      <c r="A8" s="8" t="s">
        <v>6</v>
      </c>
      <c r="B8" s="9" t="s">
        <v>7</v>
      </c>
      <c r="C8" s="9" t="str">
        <f>Deals!B1</f>
        <v>Springfield (DST)</v>
      </c>
      <c r="D8" s="9" t="str">
        <f>Deals!C1</f>
        <v>Hamburg (Dev)</v>
      </c>
      <c r="J8" s="2" t="str">
        <f>Deals!I1</f>
        <v>Armor (USEDC HQ)</v>
      </c>
    </row>
    <row r="9" spans="1:10" x14ac:dyDescent="0.35">
      <c r="A9" s="3" t="s">
        <v>8</v>
      </c>
      <c r="B9" s="10" t="str">
        <f>INDEX(Deals!$A$1:$L$27,2,$H$1)</f>
        <v>Income/Core (DST/Stabilized)</v>
      </c>
      <c r="C9" s="10" t="str">
        <f>Deals!B2</f>
        <v>Income/Core (DST/Stabilized)</v>
      </c>
      <c r="D9" s="10" t="str">
        <f>Deals!C2</f>
        <v>Development</v>
      </c>
      <c r="J9" s="2" t="str">
        <f>Deals!J1</f>
        <v>New Deal 6</v>
      </c>
    </row>
    <row r="10" spans="1:10" x14ac:dyDescent="0.35">
      <c r="A10" s="3" t="s">
        <v>9</v>
      </c>
      <c r="B10" s="10" t="str">
        <f>INDEX(Deals!$A$1:$L$27,3,$H$1)</f>
        <v>Assumed core market (≥200k metro)</v>
      </c>
      <c r="C10" s="10" t="str">
        <f>Deals!B3</f>
        <v>Springfield</v>
      </c>
      <c r="D10" s="10" t="str">
        <f>Deals!C3</f>
        <v>Hamburg</v>
      </c>
      <c r="J10" s="2" t="str">
        <f>Deals!K1</f>
        <v>New Deal 7</v>
      </c>
    </row>
    <row r="11" spans="1:10" x14ac:dyDescent="0.35">
      <c r="A11" s="3" t="s">
        <v>10</v>
      </c>
      <c r="B11" s="11">
        <f>INDEX(Deals!$A$1:$L$27,5,$H$1)</f>
        <v>28896298.571428567</v>
      </c>
      <c r="C11" s="11">
        <f>Deals!B5</f>
        <v>13212143</v>
      </c>
      <c r="D11" s="11">
        <f>Deals!C5</f>
        <v>9592457</v>
      </c>
      <c r="J11" s="2" t="str">
        <f>Deals!L1</f>
        <v>New Deal 8</v>
      </c>
    </row>
    <row r="12" spans="1:10" x14ac:dyDescent="0.35">
      <c r="A12" s="3" t="s">
        <v>11</v>
      </c>
      <c r="B12" s="11">
        <f>INDEX(Deals!$A$1:$L$27,6,$H$1)</f>
        <v>19196298.571428567</v>
      </c>
      <c r="C12" s="11">
        <f>Deals!B6</f>
        <v>13212143</v>
      </c>
      <c r="D12" s="11">
        <f>Deals!C6</f>
        <v>5773999</v>
      </c>
    </row>
    <row r="13" spans="1:10" x14ac:dyDescent="0.35">
      <c r="A13" s="3" t="s">
        <v>12</v>
      </c>
      <c r="B13" s="11">
        <f>INDEX(Deals!$A$1:$L$27,7,$H$1)</f>
        <v>9700000</v>
      </c>
      <c r="C13" s="11">
        <f>Deals!B7</f>
        <v>0</v>
      </c>
      <c r="D13" s="11">
        <f>Deals!C7</f>
        <v>3818458</v>
      </c>
    </row>
    <row r="14" spans="1:10" x14ac:dyDescent="0.35">
      <c r="A14" s="3" t="s">
        <v>13</v>
      </c>
      <c r="B14" s="12">
        <f>INDEX(Deals!$A$1:$L$27,8,$H$1)</f>
        <v>0.33568313173476649</v>
      </c>
      <c r="C14" s="12">
        <f>Deals!B8</f>
        <v>0</v>
      </c>
      <c r="D14" s="12">
        <f>Deals!C8</f>
        <v>0.39806881594569571</v>
      </c>
    </row>
    <row r="15" spans="1:10" x14ac:dyDescent="0.35">
      <c r="A15" s="3" t="s">
        <v>14</v>
      </c>
      <c r="B15" s="12">
        <f>INDEX(Deals!$A$1:$L$27,9,$H$1)</f>
        <v>7.0000000000000007E-2</v>
      </c>
      <c r="C15" s="12">
        <f>Deals!B9</f>
        <v>6.9999999243120517E-2</v>
      </c>
      <c r="D15" s="12">
        <f>Deals!C9</f>
        <v>0</v>
      </c>
    </row>
    <row r="16" spans="1:10" x14ac:dyDescent="0.35">
      <c r="A16" s="3" t="s">
        <v>15</v>
      </c>
      <c r="B16" s="12">
        <f>INDEX(Deals!$A$1:$L$27,10,$H$1)</f>
        <v>7.0000000000000007E-2</v>
      </c>
      <c r="C16" s="12">
        <f>Deals!B10</f>
        <v>7.0000000000000007E-2</v>
      </c>
      <c r="D16" s="12">
        <f>Deals!C10</f>
        <v>5.5E-2</v>
      </c>
    </row>
    <row r="17" spans="1:4" x14ac:dyDescent="0.35">
      <c r="A17" s="3" t="s">
        <v>16</v>
      </c>
      <c r="B17" s="11">
        <f>INDEX(Deals!$A$1:$L$27,11,$H$1)</f>
        <v>2022740.9</v>
      </c>
      <c r="C17" s="11">
        <f>Deals!B11</f>
        <v>924850</v>
      </c>
      <c r="D17" s="11">
        <f>Deals!C11</f>
        <v>706128.14415860397</v>
      </c>
    </row>
    <row r="18" spans="1:4" x14ac:dyDescent="0.35">
      <c r="A18" s="3" t="s">
        <v>17</v>
      </c>
      <c r="B18" s="12">
        <f>INDEX(Deals!$A$1:$L$27,12,$H$1)</f>
        <v>0.258544</v>
      </c>
      <c r="C18" s="12">
        <f>Deals!B12</f>
        <v>0.14011116214462241</v>
      </c>
      <c r="D18" s="12">
        <f>Deals!C12</f>
        <v>0.35297093672653729</v>
      </c>
    </row>
    <row r="19" spans="1:4" x14ac:dyDescent="0.35">
      <c r="A19" s="3" t="s">
        <v>18</v>
      </c>
      <c r="B19" s="12">
        <f>INDEX(Deals!$A$1:$L$27,13,$H$1)</f>
        <v>7.0000000000000007E-2</v>
      </c>
      <c r="C19" s="12">
        <f>Deals!B13</f>
        <v>6.9999999243120517E-2</v>
      </c>
      <c r="D19" s="12">
        <f>Deals!C13</f>
        <v>7.3612854783566287E-2</v>
      </c>
    </row>
    <row r="20" spans="1:4" x14ac:dyDescent="0.35">
      <c r="A20" s="3" t="s">
        <v>19</v>
      </c>
      <c r="B20" s="12" t="str">
        <f>INDEX(Deals!$A$1:$L$27,14,$H$1)</f>
        <v/>
      </c>
      <c r="C20" s="12">
        <f>Deals!B14</f>
        <v>0</v>
      </c>
      <c r="D20" s="12">
        <f>Deals!C14</f>
        <v>1.861285478356629E-2</v>
      </c>
    </row>
    <row r="21" spans="1:4" x14ac:dyDescent="0.35">
      <c r="A21" s="3" t="s">
        <v>20</v>
      </c>
      <c r="B21" s="12">
        <f>INDEX(Deals!$A$1:$L$27,15,$H$1)</f>
        <v>8.5000000000000006E-2</v>
      </c>
      <c r="C21" s="12">
        <f>Deals!B15</f>
        <v>0.1130438304475669</v>
      </c>
      <c r="D21" s="12">
        <f>Deals!C15</f>
        <v>0.1731</v>
      </c>
    </row>
    <row r="22" spans="1:4" x14ac:dyDescent="0.35">
      <c r="A22" s="3" t="s">
        <v>21</v>
      </c>
      <c r="B22" s="12">
        <f>INDEX(Deals!$A$1:$L$27,16,$H$1)</f>
        <v>9.5000000000000001E-2</v>
      </c>
      <c r="C22" s="12">
        <f>Deals!B16</f>
        <v>0.1130438304475669</v>
      </c>
      <c r="D22" s="12">
        <f>Deals!C16</f>
        <v>0.1691</v>
      </c>
    </row>
    <row r="23" spans="1:4" x14ac:dyDescent="0.35">
      <c r="A23" s="3" t="s">
        <v>22</v>
      </c>
      <c r="B23" s="13">
        <f>INDEX(Deals!$A$1:$L$27,17,$H$1)</f>
        <v>57166</v>
      </c>
      <c r="C23" s="13">
        <f>Deals!B17</f>
        <v>0</v>
      </c>
      <c r="D23" s="13">
        <f>Deals!C17</f>
        <v>63240</v>
      </c>
    </row>
    <row r="24" spans="1:4" x14ac:dyDescent="0.35">
      <c r="A24" s="3" t="s">
        <v>23</v>
      </c>
      <c r="B24" s="13">
        <f>INDEX(Deals!$A$1:$L$27,21,$H$1)</f>
        <v>250000</v>
      </c>
      <c r="C24" s="13">
        <f>Deals!B21</f>
        <v>250000</v>
      </c>
      <c r="D24" s="13">
        <f>Deals!C21</f>
        <v>250000</v>
      </c>
    </row>
    <row r="25" spans="1:4" x14ac:dyDescent="0.35">
      <c r="A25" s="3" t="s">
        <v>24</v>
      </c>
      <c r="B25" s="12">
        <f>INDEX(Deals!$A$1:$L$27,22,$H$1)</f>
        <v>5.0000000000000001E-3</v>
      </c>
      <c r="C25" s="12">
        <f>Deals!B22</f>
        <v>0.06</v>
      </c>
      <c r="D25" s="12">
        <f>Deals!C22</f>
        <v>0.06</v>
      </c>
    </row>
    <row r="26" spans="1:4" x14ac:dyDescent="0.35">
      <c r="A26" s="3" t="s">
        <v>25</v>
      </c>
      <c r="B26" s="12">
        <f>INDEX(Deals!$A$1:$L$27,23,$H$1)</f>
        <v>0.06</v>
      </c>
      <c r="C26" s="12">
        <f>Deals!B23</f>
        <v>0.04</v>
      </c>
      <c r="D26" s="12">
        <f>Deals!C23</f>
        <v>0.04</v>
      </c>
    </row>
    <row r="27" spans="1:4" x14ac:dyDescent="0.35">
      <c r="A27" s="3" t="s">
        <v>26</v>
      </c>
      <c r="B27" s="14" t="str">
        <f>INDEX(Deals!$A$1:$L$27,24,$H$1)</f>
        <v/>
      </c>
      <c r="C27" s="14">
        <f>Deals!B24</f>
        <v>0</v>
      </c>
      <c r="D27" s="14">
        <f>Deals!C24</f>
        <v>0</v>
      </c>
    </row>
    <row r="28" spans="1:4" x14ac:dyDescent="0.35">
      <c r="A28" s="3" t="s">
        <v>27</v>
      </c>
      <c r="B28" s="12">
        <f>INDEX(Deals!$A$1:$L$27,26,$H$1)</f>
        <v>9.5000000000000001E-2</v>
      </c>
      <c r="C28" s="12">
        <f>Deals!B26</f>
        <v>0.1130438304475669</v>
      </c>
      <c r="D28" s="12">
        <f>Deals!C26</f>
        <v>0.1731</v>
      </c>
    </row>
    <row r="31" spans="1:4" x14ac:dyDescent="0.35">
      <c r="A31" s="8" t="s">
        <v>28</v>
      </c>
      <c r="B31" s="9" t="s">
        <v>29</v>
      </c>
      <c r="C31" s="9" t="s">
        <v>30</v>
      </c>
    </row>
    <row r="32" spans="1:4" x14ac:dyDescent="0.35">
      <c r="A32" s="3" t="s">
        <v>31</v>
      </c>
      <c r="B32" s="10">
        <f>INDEX(Scores!$A$1:$L$14,2,$H$1)</f>
        <v>15</v>
      </c>
      <c r="C32" s="10">
        <v>15</v>
      </c>
    </row>
    <row r="33" spans="1:3" x14ac:dyDescent="0.35">
      <c r="A33" s="3" t="s">
        <v>32</v>
      </c>
      <c r="B33" s="10">
        <f>INDEX(Scores!$A$1:$L$14,3,$H$1)</f>
        <v>7.5</v>
      </c>
      <c r="C33" s="10">
        <v>15</v>
      </c>
    </row>
    <row r="34" spans="1:3" x14ac:dyDescent="0.35">
      <c r="A34" s="3" t="s">
        <v>33</v>
      </c>
      <c r="B34" s="10">
        <f>INDEX(Scores!$A$1:$L$14,4,$H$1)</f>
        <v>10</v>
      </c>
      <c r="C34" s="10">
        <v>10</v>
      </c>
    </row>
    <row r="35" spans="1:3" x14ac:dyDescent="0.35">
      <c r="A35" s="3" t="s">
        <v>34</v>
      </c>
      <c r="B35" s="10">
        <f>INDEX(Scores!$A$1:$L$14,5,$H$1)</f>
        <v>12</v>
      </c>
      <c r="C35" s="10">
        <v>12</v>
      </c>
    </row>
    <row r="36" spans="1:3" x14ac:dyDescent="0.35">
      <c r="A36" s="3" t="s">
        <v>35</v>
      </c>
      <c r="B36" s="10">
        <f>INDEX(Scores!$A$1:$L$14,6,$H$1)</f>
        <v>5</v>
      </c>
      <c r="C36" s="10">
        <v>10</v>
      </c>
    </row>
    <row r="37" spans="1:3" x14ac:dyDescent="0.35">
      <c r="A37" s="3" t="s">
        <v>36</v>
      </c>
      <c r="B37" s="10">
        <f>INDEX(Scores!$A$1:$L$14,7,$H$1)</f>
        <v>5</v>
      </c>
      <c r="C37" s="10">
        <v>10</v>
      </c>
    </row>
    <row r="38" spans="1:3" x14ac:dyDescent="0.35">
      <c r="A38" s="3" t="s">
        <v>37</v>
      </c>
      <c r="B38" s="10">
        <f>INDEX(Scores!$A$1:$L$14,8,$H$1)</f>
        <v>6.5</v>
      </c>
      <c r="C38" s="10">
        <v>13</v>
      </c>
    </row>
    <row r="39" spans="1:3" x14ac:dyDescent="0.35">
      <c r="A39" s="3" t="s">
        <v>38</v>
      </c>
      <c r="B39" s="10">
        <f>INDEX(Scores!$A$1:$L$14,9,$H$1)</f>
        <v>4</v>
      </c>
      <c r="C39" s="10">
        <v>8</v>
      </c>
    </row>
    <row r="40" spans="1:3" x14ac:dyDescent="0.35">
      <c r="A40" s="3" t="s">
        <v>39</v>
      </c>
      <c r="B40" s="10">
        <f>INDEX(Scores!$A$1:$L$14,10,$H$1)</f>
        <v>7</v>
      </c>
      <c r="C40" s="10">
        <v>7</v>
      </c>
    </row>
  </sheetData>
  <mergeCells count="1">
    <mergeCell ref="A1:E1"/>
  </mergeCells>
  <conditionalFormatting sqref="B5">
    <cfRule type="cellIs" dxfId="10" priority="1" operator="equal">
      <formula>"GO"</formula>
    </cfRule>
    <cfRule type="cellIs" dxfId="9" priority="2" operator="equal">
      <formula>"CONDITIONAL GO"</formula>
    </cfRule>
    <cfRule type="cellIs" dxfId="8" priority="3" operator="equal">
      <formula>"NO-GO"</formula>
    </cfRule>
  </conditionalFormatting>
  <conditionalFormatting sqref="B32:B40">
    <cfRule type="cellIs" dxfId="7" priority="4" operator="greaterThanOrEqual">
      <formula>C32</formula>
    </cfRule>
    <cfRule type="cellIs" dxfId="6" priority="5" operator="equal">
      <formula>0</formula>
    </cfRule>
  </conditionalFormatting>
  <dataValidations count="1">
    <dataValidation type="list" prompt="Choose a deal to evaluate" sqref="B3" xr:uid="{00000000-0002-0000-0000-000000000000}">
      <formula1>$J$1:$J$11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"/>
  <sheetViews>
    <sheetView showGridLines="0" workbookViewId="0">
      <pane xSplit="1" ySplit="1" topLeftCell="D2" activePane="bottomRight" state="frozen"/>
      <selection pane="topRight"/>
      <selection pane="bottomLeft"/>
      <selection pane="bottomRight" activeCell="B20" sqref="B20"/>
    </sheetView>
  </sheetViews>
  <sheetFormatPr defaultRowHeight="14.5" x14ac:dyDescent="0.35"/>
  <cols>
    <col min="1" max="1" width="22.1796875" bestFit="1" customWidth="1"/>
    <col min="2" max="2" width="26.54296875" bestFit="1" customWidth="1"/>
    <col min="3" max="3" width="13.7265625" bestFit="1" customWidth="1"/>
    <col min="4" max="4" width="22.7265625" bestFit="1" customWidth="1"/>
    <col min="5" max="12" width="26.54296875" bestFit="1" customWidth="1"/>
  </cols>
  <sheetData>
    <row r="1" spans="1:12" x14ac:dyDescent="0.35">
      <c r="A1" s="38" t="s">
        <v>6</v>
      </c>
      <c r="B1" s="20" t="s">
        <v>43</v>
      </c>
      <c r="C1" s="20" t="s">
        <v>44</v>
      </c>
      <c r="D1" s="20" t="s">
        <v>2</v>
      </c>
      <c r="E1" s="20" t="s">
        <v>45</v>
      </c>
      <c r="F1" s="20" t="s">
        <v>46</v>
      </c>
      <c r="G1" s="20" t="s">
        <v>47</v>
      </c>
      <c r="H1" s="20" t="s">
        <v>398</v>
      </c>
      <c r="I1" s="20" t="s">
        <v>402</v>
      </c>
      <c r="J1" s="20" t="s">
        <v>48</v>
      </c>
      <c r="K1" s="20" t="s">
        <v>49</v>
      </c>
      <c r="L1" s="20" t="s">
        <v>50</v>
      </c>
    </row>
    <row r="2" spans="1:12" x14ac:dyDescent="0.35">
      <c r="A2" s="24" t="s">
        <v>8</v>
      </c>
      <c r="B2" s="39" t="s">
        <v>40</v>
      </c>
      <c r="C2" s="39" t="s">
        <v>51</v>
      </c>
      <c r="D2" s="39" t="s">
        <v>51</v>
      </c>
      <c r="E2" s="25" t="s">
        <v>40</v>
      </c>
      <c r="F2" s="25" t="s">
        <v>40</v>
      </c>
      <c r="G2" s="40" t="s">
        <v>40</v>
      </c>
      <c r="H2" s="40" t="s">
        <v>40</v>
      </c>
      <c r="I2" s="40" t="s">
        <v>40</v>
      </c>
      <c r="J2" s="40" t="s">
        <v>40</v>
      </c>
      <c r="K2" s="40" t="s">
        <v>40</v>
      </c>
      <c r="L2" s="40" t="s">
        <v>40</v>
      </c>
    </row>
    <row r="3" spans="1:12" x14ac:dyDescent="0.35">
      <c r="A3" s="24" t="s">
        <v>9</v>
      </c>
      <c r="B3" s="39" t="s">
        <v>52</v>
      </c>
      <c r="C3" s="39" t="s">
        <v>53</v>
      </c>
      <c r="D3" s="39" t="s">
        <v>54</v>
      </c>
      <c r="E3" s="25"/>
      <c r="F3" s="25"/>
      <c r="G3" s="40"/>
      <c r="H3" s="54" t="s">
        <v>399</v>
      </c>
      <c r="I3" s="54" t="s">
        <v>399</v>
      </c>
      <c r="J3" s="40"/>
      <c r="K3" s="40"/>
      <c r="L3" s="40"/>
    </row>
    <row r="4" spans="1:12" x14ac:dyDescent="0.35">
      <c r="A4" s="24" t="s">
        <v>55</v>
      </c>
      <c r="B4" s="41">
        <v>0</v>
      </c>
      <c r="C4" s="41">
        <v>1</v>
      </c>
      <c r="D4" s="41">
        <v>1</v>
      </c>
      <c r="E4" s="42">
        <f t="shared" ref="E4:L4" si="0">IF(EXACT(E2,"Development"),1,0)</f>
        <v>0</v>
      </c>
      <c r="F4" s="42">
        <f t="shared" si="0"/>
        <v>0</v>
      </c>
      <c r="G4" s="43">
        <f t="shared" si="0"/>
        <v>0</v>
      </c>
      <c r="H4" s="43">
        <f t="shared" ref="H4" si="1">IF(EXACT(H2,"Development"),1,0)</f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3">
        <f t="shared" si="0"/>
        <v>0</v>
      </c>
    </row>
    <row r="5" spans="1:12" x14ac:dyDescent="0.35">
      <c r="A5" s="24" t="s">
        <v>10</v>
      </c>
      <c r="B5" s="44">
        <v>13212143</v>
      </c>
      <c r="C5" s="44">
        <v>9592457</v>
      </c>
      <c r="D5" s="44">
        <v>9800000</v>
      </c>
      <c r="E5" s="26"/>
      <c r="F5" s="26"/>
      <c r="G5" s="45"/>
      <c r="H5" s="45">
        <f>H11/H9</f>
        <v>14606671.571428571</v>
      </c>
      <c r="I5" s="45">
        <f>I11/I9</f>
        <v>28896298.571428567</v>
      </c>
      <c r="J5" s="45"/>
      <c r="K5" s="45"/>
      <c r="L5" s="45"/>
    </row>
    <row r="6" spans="1:12" x14ac:dyDescent="0.35">
      <c r="A6" s="24" t="s">
        <v>11</v>
      </c>
      <c r="B6" s="44">
        <v>13212143</v>
      </c>
      <c r="C6" s="44">
        <v>5773999</v>
      </c>
      <c r="D6" s="44">
        <v>5600000</v>
      </c>
      <c r="E6" s="26"/>
      <c r="F6" s="26"/>
      <c r="G6" s="45"/>
      <c r="H6" s="45">
        <f>H5-H7</f>
        <v>14606671.571428571</v>
      </c>
      <c r="I6" s="45">
        <f>I5-I7</f>
        <v>19196298.571428567</v>
      </c>
      <c r="J6" s="45"/>
      <c r="K6" s="45"/>
      <c r="L6" s="45"/>
    </row>
    <row r="7" spans="1:12" x14ac:dyDescent="0.35">
      <c r="A7" s="24" t="s">
        <v>12</v>
      </c>
      <c r="B7" s="44">
        <v>0</v>
      </c>
      <c r="C7" s="44">
        <v>3818458</v>
      </c>
      <c r="D7" s="44">
        <v>4200000</v>
      </c>
      <c r="E7" s="26"/>
      <c r="F7" s="26"/>
      <c r="G7" s="45"/>
      <c r="H7" s="55">
        <v>0</v>
      </c>
      <c r="I7" s="55">
        <v>9700000</v>
      </c>
      <c r="J7" s="45"/>
      <c r="K7" s="45"/>
      <c r="L7" s="45"/>
    </row>
    <row r="8" spans="1:12" x14ac:dyDescent="0.35">
      <c r="A8" s="24" t="s">
        <v>13</v>
      </c>
      <c r="B8" s="46">
        <v>0</v>
      </c>
      <c r="C8" s="46">
        <v>0.39806881594569571</v>
      </c>
      <c r="D8" s="46">
        <v>0.42857142857142849</v>
      </c>
      <c r="E8" s="27" t="str">
        <f t="shared" ref="E8:L8" si="2">IFERROR(E7/E5,"")</f>
        <v/>
      </c>
      <c r="F8" s="27" t="str">
        <f t="shared" si="2"/>
        <v/>
      </c>
      <c r="G8" s="47" t="str">
        <f t="shared" si="2"/>
        <v/>
      </c>
      <c r="H8" s="47">
        <f t="shared" si="2"/>
        <v>0</v>
      </c>
      <c r="I8" s="47">
        <f t="shared" si="2"/>
        <v>0.33568313173476649</v>
      </c>
      <c r="J8" s="47" t="str">
        <f t="shared" si="2"/>
        <v/>
      </c>
      <c r="K8" s="47" t="str">
        <f t="shared" si="2"/>
        <v/>
      </c>
      <c r="L8" s="47" t="str">
        <f t="shared" si="2"/>
        <v/>
      </c>
    </row>
    <row r="9" spans="1:12" x14ac:dyDescent="0.35">
      <c r="A9" s="24" t="s">
        <v>14</v>
      </c>
      <c r="B9" s="46">
        <v>6.9999999243120517E-2</v>
      </c>
      <c r="C9" s="46"/>
      <c r="D9" s="46"/>
      <c r="E9" s="27"/>
      <c r="F9" s="27"/>
      <c r="G9" s="47"/>
      <c r="H9" s="56">
        <v>7.0000000000000007E-2</v>
      </c>
      <c r="I9" s="56">
        <v>7.0000000000000007E-2</v>
      </c>
      <c r="J9" s="47"/>
      <c r="K9" s="47"/>
      <c r="L9" s="47"/>
    </row>
    <row r="10" spans="1:12" x14ac:dyDescent="0.35">
      <c r="A10" s="24" t="s">
        <v>15</v>
      </c>
      <c r="B10" s="46">
        <v>7.0000000000000007E-2</v>
      </c>
      <c r="C10" s="46">
        <v>5.5E-2</v>
      </c>
      <c r="D10" s="46">
        <v>0.06</v>
      </c>
      <c r="E10" s="27"/>
      <c r="F10" s="27"/>
      <c r="G10" s="47"/>
      <c r="H10" s="56">
        <v>7.0000000000000007E-2</v>
      </c>
      <c r="I10" s="56">
        <v>7.0000000000000007E-2</v>
      </c>
      <c r="J10" s="47"/>
      <c r="K10" s="47"/>
      <c r="L10" s="47"/>
    </row>
    <row r="11" spans="1:12" x14ac:dyDescent="0.35">
      <c r="A11" s="24" t="s">
        <v>16</v>
      </c>
      <c r="B11" s="44">
        <v>924850</v>
      </c>
      <c r="C11" s="44">
        <v>706128.14415860397</v>
      </c>
      <c r="D11" s="44">
        <v>735000</v>
      </c>
      <c r="E11" s="26"/>
      <c r="F11" s="26"/>
      <c r="G11" s="45"/>
      <c r="H11" s="45">
        <v>1022467.01</v>
      </c>
      <c r="I11" s="45">
        <v>2022740.9</v>
      </c>
      <c r="J11" s="45"/>
      <c r="K11" s="45"/>
      <c r="L11" s="45"/>
    </row>
    <row r="12" spans="1:12" x14ac:dyDescent="0.35">
      <c r="A12" s="24" t="s">
        <v>17</v>
      </c>
      <c r="B12" s="46">
        <v>0.14011116214462241</v>
      </c>
      <c r="C12" s="46">
        <v>0.35297093672653729</v>
      </c>
      <c r="D12" s="46">
        <v>0.33</v>
      </c>
      <c r="E12" s="27"/>
      <c r="F12" s="27"/>
      <c r="G12" s="47"/>
      <c r="H12" s="47">
        <v>0.32165500000000002</v>
      </c>
      <c r="I12" s="47">
        <v>0.258544</v>
      </c>
      <c r="J12" s="47"/>
      <c r="K12" s="47"/>
      <c r="L12" s="47"/>
    </row>
    <row r="13" spans="1:12" x14ac:dyDescent="0.35">
      <c r="A13" s="24" t="s">
        <v>18</v>
      </c>
      <c r="B13" s="46">
        <v>6.9999999243120517E-2</v>
      </c>
      <c r="C13" s="46">
        <v>7.3612854783566287E-2</v>
      </c>
      <c r="D13" s="46">
        <v>7.4999999999999997E-2</v>
      </c>
      <c r="E13" s="27" t="str">
        <f t="shared" ref="E13:L13" si="3">IFERROR(E11/E5,"")</f>
        <v/>
      </c>
      <c r="F13" s="27" t="str">
        <f t="shared" si="3"/>
        <v/>
      </c>
      <c r="G13" s="47" t="str">
        <f t="shared" si="3"/>
        <v/>
      </c>
      <c r="H13" s="47">
        <f t="shared" ref="H13" si="4">IFERROR(H11/H5,"")</f>
        <v>7.0000000000000007E-2</v>
      </c>
      <c r="I13" s="47">
        <f t="shared" si="3"/>
        <v>7.0000000000000007E-2</v>
      </c>
      <c r="J13" s="47" t="str">
        <f t="shared" si="3"/>
        <v/>
      </c>
      <c r="K13" s="47" t="str">
        <f t="shared" si="3"/>
        <v/>
      </c>
      <c r="L13" s="47" t="str">
        <f t="shared" si="3"/>
        <v/>
      </c>
    </row>
    <row r="14" spans="1:12" x14ac:dyDescent="0.35">
      <c r="A14" s="24" t="s">
        <v>19</v>
      </c>
      <c r="B14" s="46"/>
      <c r="C14" s="46">
        <v>1.861285478356629E-2</v>
      </c>
      <c r="D14" s="46">
        <v>1.4999999999999999E-2</v>
      </c>
      <c r="E14" s="27" t="str">
        <f t="shared" ref="E14:L14" si="5">IF(AND(E4=1,E13&lt;&gt;"",E10&lt;&gt;""),E13-E10,"")</f>
        <v/>
      </c>
      <c r="F14" s="27" t="str">
        <f t="shared" si="5"/>
        <v/>
      </c>
      <c r="G14" s="47" t="str">
        <f t="shared" si="5"/>
        <v/>
      </c>
      <c r="H14" s="47" t="str">
        <f t="shared" si="5"/>
        <v/>
      </c>
      <c r="I14" s="47" t="str">
        <f t="shared" si="5"/>
        <v/>
      </c>
      <c r="J14" s="47" t="str">
        <f t="shared" si="5"/>
        <v/>
      </c>
      <c r="K14" s="47" t="str">
        <f t="shared" si="5"/>
        <v/>
      </c>
      <c r="L14" s="47" t="str">
        <f t="shared" si="5"/>
        <v/>
      </c>
    </row>
    <row r="15" spans="1:12" x14ac:dyDescent="0.35">
      <c r="A15" s="24" t="s">
        <v>20</v>
      </c>
      <c r="B15" s="46">
        <v>0.1130438304475669</v>
      </c>
      <c r="C15" s="46">
        <v>0.1731</v>
      </c>
      <c r="D15" s="46">
        <v>0.158</v>
      </c>
      <c r="E15" s="27"/>
      <c r="F15" s="27"/>
      <c r="G15" s="47"/>
      <c r="H15" s="56">
        <v>8.5000000000000006E-2</v>
      </c>
      <c r="I15" s="56">
        <v>8.5000000000000006E-2</v>
      </c>
      <c r="J15" s="47"/>
      <c r="K15" s="47"/>
      <c r="L15" s="47"/>
    </row>
    <row r="16" spans="1:12" x14ac:dyDescent="0.35">
      <c r="A16" s="24" t="s">
        <v>21</v>
      </c>
      <c r="B16" s="46">
        <v>0.1130438304475669</v>
      </c>
      <c r="C16" s="46">
        <v>0.1691</v>
      </c>
      <c r="D16" s="46">
        <v>0.17100000000000001</v>
      </c>
      <c r="E16" s="27"/>
      <c r="F16" s="27"/>
      <c r="G16" s="47"/>
      <c r="H16" s="56">
        <v>8.5000000000000006E-2</v>
      </c>
      <c r="I16" s="56">
        <v>9.5000000000000001E-2</v>
      </c>
      <c r="J16" s="47"/>
      <c r="K16" s="47"/>
      <c r="L16" s="47"/>
    </row>
    <row r="17" spans="1:12" x14ac:dyDescent="0.35">
      <c r="A17" s="24" t="s">
        <v>22</v>
      </c>
      <c r="B17" s="48"/>
      <c r="C17" s="48">
        <v>63240</v>
      </c>
      <c r="D17" s="48">
        <v>78000</v>
      </c>
      <c r="E17" s="28"/>
      <c r="F17" s="28"/>
      <c r="G17" s="49"/>
      <c r="H17" s="57">
        <v>60000</v>
      </c>
      <c r="I17" s="49">
        <v>57166</v>
      </c>
      <c r="J17" s="49"/>
      <c r="K17" s="49"/>
      <c r="L17" s="49"/>
    </row>
    <row r="18" spans="1:12" x14ac:dyDescent="0.35">
      <c r="A18" s="24" t="s">
        <v>41</v>
      </c>
      <c r="B18" s="48"/>
      <c r="C18" s="48">
        <v>11.16</v>
      </c>
      <c r="D18" s="48">
        <v>9.4</v>
      </c>
      <c r="E18" s="28"/>
      <c r="F18" s="28"/>
      <c r="G18" s="49"/>
      <c r="H18" s="49"/>
      <c r="I18" s="49"/>
      <c r="J18" s="49"/>
      <c r="K18" s="49"/>
      <c r="L18" s="49"/>
    </row>
    <row r="19" spans="1:12" x14ac:dyDescent="0.35">
      <c r="A19" s="24" t="s">
        <v>42</v>
      </c>
      <c r="B19" s="48"/>
      <c r="C19" s="48">
        <v>542</v>
      </c>
      <c r="D19" s="48">
        <v>560</v>
      </c>
      <c r="E19" s="28"/>
      <c r="F19" s="28"/>
      <c r="G19" s="49"/>
      <c r="H19" s="49"/>
      <c r="I19" s="49"/>
      <c r="J19" s="49"/>
      <c r="K19" s="49"/>
      <c r="L19" s="49"/>
    </row>
    <row r="20" spans="1:12" x14ac:dyDescent="0.35">
      <c r="A20" s="24" t="s">
        <v>56</v>
      </c>
      <c r="B20" s="50"/>
      <c r="C20" s="50">
        <v>16.747634384882989</v>
      </c>
      <c r="D20" s="50"/>
      <c r="E20" s="51"/>
      <c r="F20" s="51"/>
      <c r="G20" s="52"/>
      <c r="H20" s="52"/>
      <c r="I20" s="52"/>
      <c r="J20" s="52"/>
      <c r="K20" s="52"/>
      <c r="L20" s="52"/>
    </row>
    <row r="21" spans="1:12" x14ac:dyDescent="0.35">
      <c r="A21" s="24" t="s">
        <v>23</v>
      </c>
      <c r="B21" s="48">
        <v>250000</v>
      </c>
      <c r="C21" s="48">
        <v>250000</v>
      </c>
      <c r="D21" s="48">
        <v>269136</v>
      </c>
      <c r="E21" s="28" t="str">
        <f t="shared" ref="E21:L21" si="6">IFERROR(VLOOKUP(E3,MarketTable,2,FALSE),"")</f>
        <v/>
      </c>
      <c r="F21" s="28" t="str">
        <f t="shared" si="6"/>
        <v/>
      </c>
      <c r="G21" s="49" t="str">
        <f t="shared" si="6"/>
        <v/>
      </c>
      <c r="H21" s="57">
        <v>250000</v>
      </c>
      <c r="I21" s="57">
        <v>250000</v>
      </c>
      <c r="J21" s="49" t="str">
        <f t="shared" si="6"/>
        <v/>
      </c>
      <c r="K21" s="49" t="str">
        <f t="shared" si="6"/>
        <v/>
      </c>
      <c r="L21" s="49" t="str">
        <f t="shared" si="6"/>
        <v/>
      </c>
    </row>
    <row r="22" spans="1:12" x14ac:dyDescent="0.35">
      <c r="A22" s="24" t="s">
        <v>24</v>
      </c>
      <c r="B22" s="46">
        <v>0.06</v>
      </c>
      <c r="C22" s="46">
        <v>0.06</v>
      </c>
      <c r="D22" s="46">
        <v>1.9550028844304849E-2</v>
      </c>
      <c r="E22" s="27" t="str">
        <f t="shared" ref="E22:L22" si="7">IFERROR(VLOOKUP(E3,MarketTable,3,FALSE),"")</f>
        <v/>
      </c>
      <c r="F22" s="27" t="str">
        <f t="shared" si="7"/>
        <v/>
      </c>
      <c r="G22" s="47" t="str">
        <f t="shared" si="7"/>
        <v/>
      </c>
      <c r="H22" s="56">
        <v>5.0000000000000001E-3</v>
      </c>
      <c r="I22" s="56">
        <v>5.0000000000000001E-3</v>
      </c>
      <c r="J22" s="47" t="str">
        <f t="shared" si="7"/>
        <v/>
      </c>
      <c r="K22" s="47" t="str">
        <f t="shared" si="7"/>
        <v/>
      </c>
      <c r="L22" s="47" t="str">
        <f t="shared" si="7"/>
        <v/>
      </c>
    </row>
    <row r="23" spans="1:12" x14ac:dyDescent="0.35">
      <c r="A23" s="24" t="s">
        <v>25</v>
      </c>
      <c r="B23" s="46">
        <v>0.04</v>
      </c>
      <c r="C23" s="46">
        <v>0.04</v>
      </c>
      <c r="D23" s="46">
        <v>9.363192916145506E-2</v>
      </c>
      <c r="E23" s="27" t="str">
        <f t="shared" ref="E23:L23" si="8">IFERROR(VLOOKUP(E3,MarketTable,4,FALSE),"")</f>
        <v/>
      </c>
      <c r="F23" s="27" t="str">
        <f t="shared" si="8"/>
        <v/>
      </c>
      <c r="G23" s="47" t="str">
        <f t="shared" si="8"/>
        <v/>
      </c>
      <c r="H23" s="56">
        <v>0.06</v>
      </c>
      <c r="I23" s="56">
        <v>0.06</v>
      </c>
      <c r="J23" s="47" t="str">
        <f t="shared" si="8"/>
        <v/>
      </c>
      <c r="K23" s="47" t="str">
        <f t="shared" si="8"/>
        <v/>
      </c>
      <c r="L23" s="47" t="str">
        <f t="shared" si="8"/>
        <v/>
      </c>
    </row>
    <row r="24" spans="1:12" x14ac:dyDescent="0.35">
      <c r="A24" s="24" t="s">
        <v>26</v>
      </c>
      <c r="B24" s="41"/>
      <c r="C24" s="41"/>
      <c r="D24" s="41">
        <v>23</v>
      </c>
      <c r="E24" s="42" t="str">
        <f t="shared" ref="E24:L24" si="9">IFERROR(VLOOKUP(E3,MarketTable,5,FALSE),"")</f>
        <v/>
      </c>
      <c r="F24" s="42" t="str">
        <f t="shared" si="9"/>
        <v/>
      </c>
      <c r="G24" s="43" t="str">
        <f t="shared" si="9"/>
        <v/>
      </c>
      <c r="H24" s="43" t="str">
        <f t="shared" ref="H24" si="10">IFERROR(VLOOKUP(H3,MarketTable,5,FALSE),"")</f>
        <v/>
      </c>
      <c r="I24" s="43" t="str">
        <f t="shared" si="9"/>
        <v/>
      </c>
      <c r="J24" s="43" t="str">
        <f t="shared" si="9"/>
        <v/>
      </c>
      <c r="K24" s="43" t="str">
        <f t="shared" si="9"/>
        <v/>
      </c>
      <c r="L24" s="43" t="str">
        <f t="shared" si="9"/>
        <v/>
      </c>
    </row>
    <row r="25" spans="1:12" x14ac:dyDescent="0.35">
      <c r="A25" s="24" t="s">
        <v>57</v>
      </c>
      <c r="B25" s="50"/>
      <c r="C25" s="50"/>
      <c r="D25" s="50">
        <v>0.57258151987584094</v>
      </c>
      <c r="E25" s="51" t="str">
        <f t="shared" ref="E25:L25" si="11">IFERROR(VLOOKUP(E3,MarketTable,6,FALSE),"")</f>
        <v/>
      </c>
      <c r="F25" s="51" t="str">
        <f t="shared" si="11"/>
        <v/>
      </c>
      <c r="G25" s="52" t="str">
        <f t="shared" si="11"/>
        <v/>
      </c>
      <c r="H25" s="52" t="str">
        <f t="shared" ref="H25" si="12">IFERROR(VLOOKUP(H3,MarketTable,6,FALSE),"")</f>
        <v/>
      </c>
      <c r="I25" s="52" t="str">
        <f t="shared" si="11"/>
        <v/>
      </c>
      <c r="J25" s="52" t="str">
        <f t="shared" si="11"/>
        <v/>
      </c>
      <c r="K25" s="52" t="str">
        <f t="shared" si="11"/>
        <v/>
      </c>
      <c r="L25" s="52" t="str">
        <f t="shared" si="11"/>
        <v/>
      </c>
    </row>
    <row r="26" spans="1:12" x14ac:dyDescent="0.35">
      <c r="A26" s="24" t="s">
        <v>27</v>
      </c>
      <c r="B26" s="46">
        <f t="shared" ref="B26:L26" si="13">IF(COUNT(B15:B16)=0,"",MAX(B15:B16))</f>
        <v>0.1130438304475669</v>
      </c>
      <c r="C26" s="46">
        <f t="shared" si="13"/>
        <v>0.1731</v>
      </c>
      <c r="D26" s="46">
        <f t="shared" si="13"/>
        <v>0.17100000000000001</v>
      </c>
      <c r="E26" s="27" t="str">
        <f t="shared" si="13"/>
        <v/>
      </c>
      <c r="F26" s="27" t="str">
        <f t="shared" si="13"/>
        <v/>
      </c>
      <c r="G26" s="47" t="str">
        <f t="shared" si="13"/>
        <v/>
      </c>
      <c r="H26" s="47">
        <f t="shared" ref="H26" si="14">IF(COUNT(H15:H16)=0,"",MAX(H15:H16))</f>
        <v>8.5000000000000006E-2</v>
      </c>
      <c r="I26" s="47">
        <f t="shared" si="13"/>
        <v>9.5000000000000001E-2</v>
      </c>
      <c r="J26" s="47" t="str">
        <f t="shared" si="13"/>
        <v/>
      </c>
      <c r="K26" s="47" t="str">
        <f t="shared" si="13"/>
        <v/>
      </c>
      <c r="L26" s="47" t="str">
        <f t="shared" si="13"/>
        <v/>
      </c>
    </row>
    <row r="27" spans="1:12" x14ac:dyDescent="0.35">
      <c r="A27" s="24" t="s">
        <v>58</v>
      </c>
      <c r="B27" s="46">
        <f t="shared" ref="B27:L27" si="15">IF(B4=1,B13,B9)</f>
        <v>6.9999999243120517E-2</v>
      </c>
      <c r="C27" s="46">
        <f t="shared" si="15"/>
        <v>7.3612854783566287E-2</v>
      </c>
      <c r="D27" s="46">
        <f t="shared" si="15"/>
        <v>7.4999999999999997E-2</v>
      </c>
      <c r="E27" s="27">
        <f t="shared" si="15"/>
        <v>0</v>
      </c>
      <c r="F27" s="27">
        <f t="shared" si="15"/>
        <v>0</v>
      </c>
      <c r="G27" s="47">
        <f t="shared" si="15"/>
        <v>0</v>
      </c>
      <c r="H27" s="47">
        <f t="shared" ref="H27" si="16">IF(H4=1,H13,H9)</f>
        <v>7.0000000000000007E-2</v>
      </c>
      <c r="I27" s="47">
        <f t="shared" si="15"/>
        <v>7.0000000000000007E-2</v>
      </c>
      <c r="J27" s="47">
        <f t="shared" si="15"/>
        <v>0</v>
      </c>
      <c r="K27" s="47">
        <f t="shared" si="15"/>
        <v>0</v>
      </c>
      <c r="L27" s="47">
        <f t="shared" si="15"/>
        <v>0</v>
      </c>
    </row>
  </sheetData>
  <dataValidations count="2">
    <dataValidation type="list" sqref="E2:L2" xr:uid="{00000000-0002-0000-0300-000000000000}">
      <formula1>"Income/Core (DST/Stabilized),Development"</formula1>
    </dataValidation>
    <dataValidation type="list" allowBlank="1" prompt="Pick the deal's county" sqref="E3:L3" xr:uid="{00000000-0002-0000-0300-000001000000}">
      <formula1>MarketCounties</formula1>
    </dataValidation>
  </dataValidations>
  <pageMargins left="0.75" right="0.75" top="1" bottom="1" header="0.5" footer="0.5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14"/>
  <sheetViews>
    <sheetView workbookViewId="0">
      <selection activeCell="G26" sqref="G26"/>
    </sheetView>
  </sheetViews>
  <sheetFormatPr defaultRowHeight="14.5" x14ac:dyDescent="0.35"/>
  <cols>
    <col min="1" max="1" width="26" customWidth="1"/>
    <col min="2" max="2" width="15.26953125" bestFit="1" customWidth="1"/>
    <col min="3" max="3" width="13.7265625" bestFit="1" customWidth="1"/>
    <col min="4" max="4" width="22.7265625" bestFit="1" customWidth="1"/>
    <col min="5" max="6" width="10.453125" bestFit="1" customWidth="1"/>
    <col min="7" max="7" width="17.90625" customWidth="1"/>
    <col min="8" max="8" width="23.54296875" customWidth="1"/>
    <col min="9" max="9" width="23.453125" customWidth="1"/>
    <col min="10" max="10" width="16.08984375" customWidth="1"/>
    <col min="11" max="11" width="12.26953125" customWidth="1"/>
    <col min="12" max="12" width="14" customWidth="1"/>
  </cols>
  <sheetData>
    <row r="1" spans="1:12" x14ac:dyDescent="0.35">
      <c r="A1" s="8" t="s">
        <v>28</v>
      </c>
      <c r="B1" s="9" t="str">
        <f>Deals!B1</f>
        <v>Springfield (DST)</v>
      </c>
      <c r="C1" s="9" t="str">
        <f>Deals!C1</f>
        <v>Hamburg (Dev)</v>
      </c>
      <c r="D1" s="9" t="str">
        <f>Deals!D1</f>
        <v>Maple Grove (Candidate)</v>
      </c>
      <c r="E1" s="9" t="str">
        <f>Deals!E1</f>
        <v>New Deal 1</v>
      </c>
      <c r="F1" s="9" t="str">
        <f>Deals!F1</f>
        <v>New Deal 2</v>
      </c>
      <c r="G1" s="9" t="str">
        <f>Deals!G1</f>
        <v>New Deal 3</v>
      </c>
      <c r="H1" s="9" t="str">
        <f>Deals!H1</f>
        <v>Armour Building</v>
      </c>
      <c r="I1" s="9" t="str">
        <f>Deals!I1</f>
        <v>Armor (USEDC HQ)</v>
      </c>
      <c r="J1" s="9" t="str">
        <f>Deals!J1</f>
        <v>New Deal 6</v>
      </c>
      <c r="K1" s="9" t="str">
        <f>Deals!K1</f>
        <v>New Deal 7</v>
      </c>
      <c r="L1" s="9" t="str">
        <f>Deals!L1</f>
        <v>New Deal 8</v>
      </c>
    </row>
    <row r="2" spans="1:12" x14ac:dyDescent="0.35">
      <c r="A2" s="3" t="s">
        <v>59</v>
      </c>
      <c r="B2" s="10">
        <f>IF(OR(Deals!B26="",Deals!B10=""),0,IF(Deals!B26&gt;Deals!B10,15,0))</f>
        <v>15</v>
      </c>
      <c r="C2" s="10">
        <f>IF(OR(Deals!C26="",Deals!C10=""),0,IF(Deals!C26&gt;Deals!C10,15,0))</f>
        <v>15</v>
      </c>
      <c r="D2" s="10">
        <f>IF(OR(Deals!D26="",Deals!D10=""),0,IF(Deals!D26&gt;Deals!D10,15,0))</f>
        <v>15</v>
      </c>
      <c r="E2" s="10">
        <f>IF(OR(Deals!E26="",Deals!E10=""),0,IF(Deals!E26&gt;Deals!E10,15,0))</f>
        <v>0</v>
      </c>
      <c r="F2" s="10">
        <f>IF(OR(Deals!F26="",Deals!F10=""),0,IF(Deals!F26&gt;Deals!F10,15,0))</f>
        <v>0</v>
      </c>
      <c r="G2" s="10">
        <f>IF(OR(Deals!G26="",Deals!G10=""),0,IF(Deals!G26&gt;Deals!G10,15,0))</f>
        <v>0</v>
      </c>
      <c r="H2" s="10">
        <f>IF(OR(Deals!H26="",Deals!H10=""),0,IF(Deals!H26&gt;Deals!H10,15,0))</f>
        <v>15</v>
      </c>
      <c r="I2" s="10">
        <f>IF(OR(Deals!I26="",Deals!I10=""),0,IF(Deals!I26&gt;Deals!I10,15,0))</f>
        <v>15</v>
      </c>
      <c r="J2" s="10">
        <f>IF(OR(Deals!J26="",Deals!J10=""),0,IF(Deals!J26&gt;Deals!J10,15,0))</f>
        <v>0</v>
      </c>
      <c r="K2" s="10">
        <f>IF(OR(Deals!K26="",Deals!K10=""),0,IF(Deals!K26&gt;Deals!K10,15,0))</f>
        <v>0</v>
      </c>
      <c r="L2" s="10">
        <f>IF(OR(Deals!L26="",Deals!L10=""),0,IF(Deals!L26&gt;Deals!L10,15,0))</f>
        <v>0</v>
      </c>
    </row>
    <row r="3" spans="1:12" x14ac:dyDescent="0.35">
      <c r="A3" s="3" t="s">
        <v>60</v>
      </c>
      <c r="B3" s="10">
        <f>IF(Deals!B27="",0,IF(Deals!B27&gt;=0.075,15,IF(Deals!B27&gt;=0.065,7.5,0)))</f>
        <v>7.5</v>
      </c>
      <c r="C3" s="10">
        <f>IF(Deals!C27="",0,IF(Deals!C27&gt;=0.075,15,IF(Deals!C27&gt;=0.065,7.5,0)))</f>
        <v>7.5</v>
      </c>
      <c r="D3" s="10">
        <f>IF(Deals!D27="",0,IF(Deals!D27&gt;=0.075,15,IF(Deals!D27&gt;=0.065,7.5,0)))</f>
        <v>15</v>
      </c>
      <c r="E3" s="10">
        <f>IF(Deals!E27="",0,IF(Deals!E27&gt;=0.075,15,IF(Deals!E27&gt;=0.065,7.5,0)))</f>
        <v>0</v>
      </c>
      <c r="F3" s="10">
        <f>IF(Deals!F27="",0,IF(Deals!F27&gt;=0.075,15,IF(Deals!F27&gt;=0.065,7.5,0)))</f>
        <v>0</v>
      </c>
      <c r="G3" s="10">
        <f>IF(Deals!G27="",0,IF(Deals!G27&gt;=0.075,15,IF(Deals!G27&gt;=0.065,7.5,0)))</f>
        <v>0</v>
      </c>
      <c r="H3" s="10">
        <f>IF(Deals!H27="",0,IF(Deals!H27&gt;=0.075,15,IF(Deals!H27&gt;=0.065,7.5,0)))</f>
        <v>7.5</v>
      </c>
      <c r="I3" s="10">
        <f>IF(Deals!I27="",0,IF(Deals!I27&gt;=0.075,15,IF(Deals!I27&gt;=0.065,7.5,0)))</f>
        <v>7.5</v>
      </c>
      <c r="J3" s="10">
        <f>IF(Deals!J27="",0,IF(Deals!J27&gt;=0.075,15,IF(Deals!J27&gt;=0.065,7.5,0)))</f>
        <v>0</v>
      </c>
      <c r="K3" s="10">
        <f>IF(Deals!K27="",0,IF(Deals!K27&gt;=0.075,15,IF(Deals!K27&gt;=0.065,7.5,0)))</f>
        <v>0</v>
      </c>
      <c r="L3" s="10">
        <f>IF(Deals!L27="",0,IF(Deals!L27&gt;=0.075,15,IF(Deals!L27&gt;=0.065,7.5,0)))</f>
        <v>0</v>
      </c>
    </row>
    <row r="4" spans="1:12" x14ac:dyDescent="0.35">
      <c r="A4" s="3" t="s">
        <v>61</v>
      </c>
      <c r="B4" s="10">
        <f>IF(Deals!B12="",0,IF(Deals!B12&lt;=0.3,10,IF(Deals!B12&lt;=0.35,5,0)))</f>
        <v>10</v>
      </c>
      <c r="C4" s="10">
        <f>IF(Deals!C12="",0,IF(Deals!C12&lt;=0.3,10,IF(Deals!C12&lt;=0.35,5,0)))</f>
        <v>0</v>
      </c>
      <c r="D4" s="10">
        <f>IF(Deals!D12="",0,IF(Deals!D12&lt;=0.3,10,IF(Deals!D12&lt;=0.35,5,0)))</f>
        <v>5</v>
      </c>
      <c r="E4" s="10">
        <f>IF(Deals!E12="",0,IF(Deals!E12&lt;=0.3,10,IF(Deals!E12&lt;=0.35,5,0)))</f>
        <v>0</v>
      </c>
      <c r="F4" s="10">
        <f>IF(Deals!F12="",0,IF(Deals!F12&lt;=0.3,10,IF(Deals!F12&lt;=0.35,5,0)))</f>
        <v>0</v>
      </c>
      <c r="G4" s="10">
        <f>IF(Deals!G12="",0,IF(Deals!G12&lt;=0.3,10,IF(Deals!G12&lt;=0.35,5,0)))</f>
        <v>0</v>
      </c>
      <c r="H4" s="10">
        <f>IF(Deals!H12="",0,IF(Deals!H12&lt;=0.3,10,IF(Deals!H12&lt;=0.35,5,0)))</f>
        <v>5</v>
      </c>
      <c r="I4" s="10">
        <f>IF(Deals!I12="",0,IF(Deals!I12&lt;=0.3,10,IF(Deals!I12&lt;=0.35,5,0)))</f>
        <v>10</v>
      </c>
      <c r="J4" s="10">
        <f>IF(Deals!J12="",0,IF(Deals!J12&lt;=0.3,10,IF(Deals!J12&lt;=0.35,5,0)))</f>
        <v>0</v>
      </c>
      <c r="K4" s="10">
        <f>IF(Deals!K12="",0,IF(Deals!K12&lt;=0.3,10,IF(Deals!K12&lt;=0.35,5,0)))</f>
        <v>0</v>
      </c>
      <c r="L4" s="10">
        <f>IF(Deals!L12="",0,IF(Deals!L12&lt;=0.3,10,IF(Deals!L12&lt;=0.35,5,0)))</f>
        <v>0</v>
      </c>
    </row>
    <row r="5" spans="1:12" x14ac:dyDescent="0.35">
      <c r="A5" s="3" t="s">
        <v>62</v>
      </c>
      <c r="B5" s="10">
        <f>IF(Deals!B21="",0,IF(Deals!B21&gt;=200000,12,0))</f>
        <v>12</v>
      </c>
      <c r="C5" s="10">
        <f>IF(Deals!C21="",0,IF(Deals!C21&gt;=200000,12,0))</f>
        <v>12</v>
      </c>
      <c r="D5" s="10">
        <f>IF(Deals!D21="",0,IF(Deals!D21&gt;=200000,12,0))</f>
        <v>12</v>
      </c>
      <c r="E5" s="10">
        <f>IF(Deals!E21="",0,IF(Deals!E21&gt;=200000,12,0))</f>
        <v>0</v>
      </c>
      <c r="F5" s="10">
        <f>IF(Deals!F21="",0,IF(Deals!F21&gt;=200000,12,0))</f>
        <v>0</v>
      </c>
      <c r="G5" s="10">
        <f>IF(Deals!G21="",0,IF(Deals!G21&gt;=200000,12,0))</f>
        <v>0</v>
      </c>
      <c r="H5" s="10">
        <f>IF(Deals!H21="",0,IF(Deals!H21&gt;=200000,12,0))</f>
        <v>12</v>
      </c>
      <c r="I5" s="10">
        <f>IF(Deals!I21="",0,IF(Deals!I21&gt;=200000,12,0))</f>
        <v>12</v>
      </c>
      <c r="J5" s="10">
        <f>IF(Deals!J21="",0,IF(Deals!J21&gt;=200000,12,0))</f>
        <v>0</v>
      </c>
      <c r="K5" s="10">
        <f>IF(Deals!K21="",0,IF(Deals!K21&gt;=200000,12,0))</f>
        <v>0</v>
      </c>
      <c r="L5" s="10">
        <f>IF(Deals!L21="",0,IF(Deals!L21&gt;=200000,12,0))</f>
        <v>0</v>
      </c>
    </row>
    <row r="6" spans="1:12" x14ac:dyDescent="0.35">
      <c r="A6" s="3" t="s">
        <v>63</v>
      </c>
      <c r="B6" s="10">
        <f>IF(Deals!B22="",5,IF(Deals!B22&gt;=0.05,10,IF(Deals!B22&gt;0,5,0)))</f>
        <v>10</v>
      </c>
      <c r="C6" s="10">
        <f>IF(Deals!C22="",5,IF(Deals!C22&gt;=0.05,10,IF(Deals!C22&gt;0,5,0)))</f>
        <v>10</v>
      </c>
      <c r="D6" s="10">
        <f>IF(Deals!D22="",5,IF(Deals!D22&gt;=0.05,10,IF(Deals!D22&gt;0,5,0)))</f>
        <v>5</v>
      </c>
      <c r="E6" s="10">
        <f>IF(Deals!E22="",5,IF(Deals!E22&gt;=0.05,10,IF(Deals!E22&gt;0,5,0)))</f>
        <v>5</v>
      </c>
      <c r="F6" s="10">
        <f>IF(Deals!F22="",5,IF(Deals!F22&gt;=0.05,10,IF(Deals!F22&gt;0,5,0)))</f>
        <v>5</v>
      </c>
      <c r="G6" s="10">
        <f>IF(Deals!G22="",5,IF(Deals!G22&gt;=0.05,10,IF(Deals!G22&gt;0,5,0)))</f>
        <v>5</v>
      </c>
      <c r="H6" s="10">
        <f>IF(Deals!H22="",5,IF(Deals!H22&gt;=0.05,10,IF(Deals!H22&gt;0,5,0)))</f>
        <v>5</v>
      </c>
      <c r="I6" s="10">
        <f>IF(Deals!I22="",5,IF(Deals!I22&gt;=0.05,10,IF(Deals!I22&gt;0,5,0)))</f>
        <v>5</v>
      </c>
      <c r="J6" s="10">
        <f>IF(Deals!J22="",5,IF(Deals!J22&gt;=0.05,10,IF(Deals!J22&gt;0,5,0)))</f>
        <v>5</v>
      </c>
      <c r="K6" s="10">
        <f>IF(Deals!K22="",5,IF(Deals!K22&gt;=0.05,10,IF(Deals!K22&gt;0,5,0)))</f>
        <v>5</v>
      </c>
      <c r="L6" s="10">
        <f>IF(Deals!L22="",5,IF(Deals!L22&gt;=0.05,10,IF(Deals!L22&gt;0,5,0)))</f>
        <v>5</v>
      </c>
    </row>
    <row r="7" spans="1:12" x14ac:dyDescent="0.35">
      <c r="A7" s="3" t="s">
        <v>64</v>
      </c>
      <c r="B7" s="10">
        <f>IF(Deals!B23="",5,IF(Deals!B23&lt;=0.05,10,IF(Deals!B23&lt;=0.1,5,0)))</f>
        <v>10</v>
      </c>
      <c r="C7" s="10">
        <f>IF(Deals!C23="",5,IF(Deals!C23&lt;=0.05,10,IF(Deals!C23&lt;=0.1,5,0)))</f>
        <v>10</v>
      </c>
      <c r="D7" s="10">
        <f>IF(Deals!D23="",5,IF(Deals!D23&lt;=0.05,10,IF(Deals!D23&lt;=0.1,5,0)))</f>
        <v>5</v>
      </c>
      <c r="E7" s="10">
        <f>IF(Deals!E23="",5,IF(Deals!E23&lt;=0.05,10,IF(Deals!E23&lt;=0.1,5,0)))</f>
        <v>5</v>
      </c>
      <c r="F7" s="10">
        <f>IF(Deals!F23="",5,IF(Deals!F23&lt;=0.05,10,IF(Deals!F23&lt;=0.1,5,0)))</f>
        <v>5</v>
      </c>
      <c r="G7" s="10">
        <f>IF(Deals!G23="",5,IF(Deals!G23&lt;=0.05,10,IF(Deals!G23&lt;=0.1,5,0)))</f>
        <v>5</v>
      </c>
      <c r="H7" s="10">
        <f>IF(Deals!H23="",5,IF(Deals!H23&lt;=0.05,10,IF(Deals!H23&lt;=0.1,5,0)))</f>
        <v>5</v>
      </c>
      <c r="I7" s="10">
        <f>IF(Deals!I23="",5,IF(Deals!I23&lt;=0.05,10,IF(Deals!I23&lt;=0.1,5,0)))</f>
        <v>5</v>
      </c>
      <c r="J7" s="10">
        <f>IF(Deals!J23="",5,IF(Deals!J23&lt;=0.05,10,IF(Deals!J23&lt;=0.1,5,0)))</f>
        <v>5</v>
      </c>
      <c r="K7" s="10">
        <f>IF(Deals!K23="",5,IF(Deals!K23&lt;=0.05,10,IF(Deals!K23&lt;=0.1,5,0)))</f>
        <v>5</v>
      </c>
      <c r="L7" s="10">
        <f>IF(Deals!L23="",5,IF(Deals!L23&lt;=0.05,10,IF(Deals!L23&lt;=0.1,5,0)))</f>
        <v>5</v>
      </c>
    </row>
    <row r="8" spans="1:12" x14ac:dyDescent="0.35">
      <c r="A8" s="3" t="s">
        <v>65</v>
      </c>
      <c r="B8" s="10">
        <f>IF(Deals!B26="",0,IF(Deals!B26&gt;=IF(Deals!B4=1,0.15,0.1),13,IF(Deals!B26&gt;=IF(Deals!B4=1,0.12,0.07),6.5,0)))</f>
        <v>13</v>
      </c>
      <c r="C8" s="10">
        <f>IF(Deals!C26="",0,IF(Deals!C26&gt;=IF(Deals!C4=1,0.15,0.1),13,IF(Deals!C26&gt;=IF(Deals!C4=1,0.12,0.07),6.5,0)))</f>
        <v>13</v>
      </c>
      <c r="D8" s="10">
        <f>IF(Deals!D26="",0,IF(Deals!D26&gt;=IF(Deals!D4=1,0.15,0.1),13,IF(Deals!D26&gt;=IF(Deals!D4=1,0.12,0.07),6.5,0)))</f>
        <v>13</v>
      </c>
      <c r="E8" s="10">
        <f>IF(Deals!E26="",0,IF(Deals!E26&gt;=IF(Deals!E4=1,0.15,0.1),13,IF(Deals!E26&gt;=IF(Deals!E4=1,0.12,0.07),6.5,0)))</f>
        <v>0</v>
      </c>
      <c r="F8" s="10">
        <f>IF(Deals!F26="",0,IF(Deals!F26&gt;=IF(Deals!F4=1,0.15,0.1),13,IF(Deals!F26&gt;=IF(Deals!F4=1,0.12,0.07),6.5,0)))</f>
        <v>0</v>
      </c>
      <c r="G8" s="10">
        <f>IF(Deals!G26="",0,IF(Deals!G26&gt;=IF(Deals!G4=1,0.15,0.1),13,IF(Deals!G26&gt;=IF(Deals!G4=1,0.12,0.07),6.5,0)))</f>
        <v>0</v>
      </c>
      <c r="H8" s="10">
        <f>IF(Deals!H26="",0,IF(Deals!H26&gt;=IF(Deals!H4=1,0.15,0.1),13,IF(Deals!H26&gt;=IF(Deals!H4=1,0.12,0.07),6.5,0)))</f>
        <v>6.5</v>
      </c>
      <c r="I8" s="10">
        <f>IF(Deals!I26="",0,IF(Deals!I26&gt;=IF(Deals!I4=1,0.15,0.1),13,IF(Deals!I26&gt;=IF(Deals!I4=1,0.12,0.07),6.5,0)))</f>
        <v>6.5</v>
      </c>
      <c r="J8" s="10">
        <f>IF(Deals!J26="",0,IF(Deals!J26&gt;=IF(Deals!J4=1,0.15,0.1),13,IF(Deals!J26&gt;=IF(Deals!J4=1,0.12,0.07),6.5,0)))</f>
        <v>0</v>
      </c>
      <c r="K8" s="10">
        <f>IF(Deals!K26="",0,IF(Deals!K26&gt;=IF(Deals!K4=1,0.15,0.1),13,IF(Deals!K26&gt;=IF(Deals!K4=1,0.12,0.07),6.5,0)))</f>
        <v>0</v>
      </c>
      <c r="L8" s="10">
        <f>IF(Deals!L26="",0,IF(Deals!L26&gt;=IF(Deals!L4=1,0.15,0.1),13,IF(Deals!L26&gt;=IF(Deals!L4=1,0.12,0.07),6.5,0)))</f>
        <v>0</v>
      </c>
    </row>
    <row r="9" spans="1:12" x14ac:dyDescent="0.35">
      <c r="A9" s="3" t="s">
        <v>66</v>
      </c>
      <c r="B9" s="10">
        <f>IF(Deals!B24="",4,IF(Deals!B24&lt;=123,8,IF(Deals!B24&lt;=184,4,0)))</f>
        <v>4</v>
      </c>
      <c r="C9" s="10">
        <f>IF(Deals!C24="",4,IF(Deals!C24&lt;=123,8,IF(Deals!C24&lt;=184,4,0)))</f>
        <v>4</v>
      </c>
      <c r="D9" s="10">
        <f>IF(Deals!D24="",4,IF(Deals!D24&lt;=123,8,IF(Deals!D24&lt;=184,4,0)))</f>
        <v>8</v>
      </c>
      <c r="E9" s="10">
        <f>IF(Deals!E24="",4,IF(Deals!E24&lt;=123,8,IF(Deals!E24&lt;=184,4,0)))</f>
        <v>4</v>
      </c>
      <c r="F9" s="10">
        <f>IF(Deals!F24="",4,IF(Deals!F24&lt;=123,8,IF(Deals!F24&lt;=184,4,0)))</f>
        <v>4</v>
      </c>
      <c r="G9" s="10">
        <f>IF(Deals!G24="",4,IF(Deals!G24&lt;=123,8,IF(Deals!G24&lt;=184,4,0)))</f>
        <v>4</v>
      </c>
      <c r="H9" s="10">
        <f>IF(Deals!H24="",4,IF(Deals!H24&lt;=123,8,IF(Deals!H24&lt;=184,4,0)))</f>
        <v>4</v>
      </c>
      <c r="I9" s="10">
        <f>IF(Deals!I24="",4,IF(Deals!I24&lt;=123,8,IF(Deals!I24&lt;=184,4,0)))</f>
        <v>4</v>
      </c>
      <c r="J9" s="10">
        <f>IF(Deals!J24="",4,IF(Deals!J24&lt;=123,8,IF(Deals!J24&lt;=184,4,0)))</f>
        <v>4</v>
      </c>
      <c r="K9" s="10">
        <f>IF(Deals!K24="",4,IF(Deals!K24&lt;=123,8,IF(Deals!K24&lt;=184,4,0)))</f>
        <v>4</v>
      </c>
      <c r="L9" s="10">
        <f>IF(Deals!L24="",4,IF(Deals!L24&lt;=123,8,IF(Deals!L24&lt;=184,4,0)))</f>
        <v>4</v>
      </c>
    </row>
    <row r="10" spans="1:12" x14ac:dyDescent="0.35">
      <c r="A10" s="3" t="s">
        <v>67</v>
      </c>
      <c r="B10" s="10">
        <f>IF(Deals!B17="",3.5,IF(AND(Deals!B17&gt;=40000,Deals!B17&lt;=120000),7,IF(AND(Deals!B17&gt;=25000,Deals!B17&lt;=150000),3.5,0)))</f>
        <v>3.5</v>
      </c>
      <c r="C10" s="10">
        <f>IF(Deals!C17="",3.5,IF(AND(Deals!C17&gt;=40000,Deals!C17&lt;=120000),7,IF(AND(Deals!C17&gt;=25000,Deals!C17&lt;=150000),3.5,0)))</f>
        <v>7</v>
      </c>
      <c r="D10" s="10">
        <f>IF(Deals!D17="",3.5,IF(AND(Deals!D17&gt;=40000,Deals!D17&lt;=120000),7,IF(AND(Deals!D17&gt;=25000,Deals!D17&lt;=150000),3.5,0)))</f>
        <v>7</v>
      </c>
      <c r="E10" s="10">
        <f>IF(Deals!E17="",3.5,IF(AND(Deals!E17&gt;=40000,Deals!E17&lt;=120000),7,IF(AND(Deals!E17&gt;=25000,Deals!E17&lt;=150000),3.5,0)))</f>
        <v>3.5</v>
      </c>
      <c r="F10" s="10">
        <f>IF(Deals!F17="",3.5,IF(AND(Deals!F17&gt;=40000,Deals!F17&lt;=120000),7,IF(AND(Deals!F17&gt;=25000,Deals!F17&lt;=150000),3.5,0)))</f>
        <v>3.5</v>
      </c>
      <c r="G10" s="10">
        <f>IF(Deals!G17="",3.5,IF(AND(Deals!G17&gt;=40000,Deals!G17&lt;=120000),7,IF(AND(Deals!G17&gt;=25000,Deals!G17&lt;=150000),3.5,0)))</f>
        <v>3.5</v>
      </c>
      <c r="H10" s="10">
        <f>IF(Deals!H17="",3.5,IF(AND(Deals!H17&gt;=40000,Deals!H17&lt;=120000),7,IF(AND(Deals!H17&gt;=25000,Deals!H17&lt;=150000),3.5,0)))</f>
        <v>7</v>
      </c>
      <c r="I10" s="10">
        <f>IF(Deals!I17="",3.5,IF(AND(Deals!I17&gt;=40000,Deals!I17&lt;=120000),7,IF(AND(Deals!I17&gt;=25000,Deals!I17&lt;=150000),3.5,0)))</f>
        <v>7</v>
      </c>
      <c r="J10" s="10">
        <f>IF(Deals!J17="",3.5,IF(AND(Deals!J17&gt;=40000,Deals!J17&lt;=120000),7,IF(AND(Deals!J17&gt;=25000,Deals!J17&lt;=150000),3.5,0)))</f>
        <v>3.5</v>
      </c>
      <c r="K10" s="10">
        <f>IF(Deals!K17="",3.5,IF(AND(Deals!K17&gt;=40000,Deals!K17&lt;=120000),7,IF(AND(Deals!K17&gt;=25000,Deals!K17&lt;=150000),3.5,0)))</f>
        <v>3.5</v>
      </c>
      <c r="L10" s="10">
        <f>IF(Deals!L17="",3.5,IF(AND(Deals!L17&gt;=40000,Deals!L17&lt;=120000),7,IF(AND(Deals!L17&gt;=25000,Deals!L17&lt;=150000),3.5,0)))</f>
        <v>3.5</v>
      </c>
    </row>
    <row r="12" spans="1:12" x14ac:dyDescent="0.35">
      <c r="A12" s="3" t="s">
        <v>68</v>
      </c>
      <c r="B12" s="7">
        <f t="shared" ref="B12:L12" si="0">SUM(B2:B10)</f>
        <v>85</v>
      </c>
      <c r="C12" s="7">
        <f t="shared" si="0"/>
        <v>78.5</v>
      </c>
      <c r="D12" s="7">
        <f t="shared" si="0"/>
        <v>85</v>
      </c>
      <c r="E12" s="7">
        <f t="shared" si="0"/>
        <v>17.5</v>
      </c>
      <c r="F12" s="7">
        <f t="shared" si="0"/>
        <v>17.5</v>
      </c>
      <c r="G12" s="7">
        <f t="shared" si="0"/>
        <v>17.5</v>
      </c>
      <c r="H12" s="7">
        <f t="shared" si="0"/>
        <v>67</v>
      </c>
      <c r="I12" s="7">
        <f t="shared" si="0"/>
        <v>72</v>
      </c>
      <c r="J12" s="7">
        <f t="shared" si="0"/>
        <v>17.5</v>
      </c>
      <c r="K12" s="7">
        <f t="shared" si="0"/>
        <v>17.5</v>
      </c>
      <c r="L12" s="7">
        <f t="shared" si="0"/>
        <v>17.5</v>
      </c>
    </row>
    <row r="13" spans="1:12" x14ac:dyDescent="0.35">
      <c r="A13" s="3" t="s">
        <v>69</v>
      </c>
      <c r="B13" s="10">
        <f>IF(OR(IF(OR(Deals!B26="",Deals!B10=""),1,IF(Deals!B26&gt;Deals!B10,0,1))=1,IF(Deals!B27="",1,IF(Deals!B27&gt;=0.065,0,1))=1,IF(Deals!B21="",1,IF(Deals!B21&gt;=200000,0,1))=1),1,0)</f>
        <v>0</v>
      </c>
      <c r="C13" s="10">
        <f>IF(OR(IF(OR(Deals!C26="",Deals!C10=""),1,IF(Deals!C26&gt;Deals!C10,0,1))=1,IF(Deals!C27="",1,IF(Deals!C27&gt;=0.065,0,1))=1,IF(Deals!C21="",1,IF(Deals!C21&gt;=200000,0,1))=1),1,0)</f>
        <v>0</v>
      </c>
      <c r="D13" s="10">
        <f>IF(OR(IF(OR(Deals!D26="",Deals!D10=""),1,IF(Deals!D26&gt;Deals!D10,0,1))=1,IF(Deals!D27="",1,IF(Deals!D27&gt;=0.065,0,1))=1,IF(Deals!D21="",1,IF(Deals!D21&gt;=200000,0,1))=1),1,0)</f>
        <v>0</v>
      </c>
      <c r="E13" s="10">
        <f>IF(OR(IF(OR(Deals!E26="",Deals!E10=""),1,IF(Deals!E26&gt;Deals!E10,0,1))=1,IF(Deals!E27="",1,IF(Deals!E27&gt;=0.065,0,1))=1,IF(Deals!E21="",1,IF(Deals!E21&gt;=200000,0,1))=1),1,0)</f>
        <v>1</v>
      </c>
      <c r="F13" s="10">
        <f>IF(OR(IF(OR(Deals!F26="",Deals!F10=""),1,IF(Deals!F26&gt;Deals!F10,0,1))=1,IF(Deals!F27="",1,IF(Deals!F27&gt;=0.065,0,1))=1,IF(Deals!F21="",1,IF(Deals!F21&gt;=200000,0,1))=1),1,0)</f>
        <v>1</v>
      </c>
      <c r="G13" s="10">
        <f>IF(OR(IF(OR(Deals!G26="",Deals!G10=""),1,IF(Deals!G26&gt;Deals!G10,0,1))=1,IF(Deals!G27="",1,IF(Deals!G27&gt;=0.065,0,1))=1,IF(Deals!G21="",1,IF(Deals!G21&gt;=200000,0,1))=1),1,0)</f>
        <v>1</v>
      </c>
      <c r="H13" s="10">
        <f>IF(OR(IF(OR(Deals!H26="",Deals!H10=""),1,IF(Deals!H26&gt;Deals!H10,0,1))=1,IF(Deals!H27="",1,IF(Deals!H27&gt;=0.065,0,1))=1,IF(Deals!H21="",1,IF(Deals!H21&gt;=200000,0,1))=1),1,0)</f>
        <v>0</v>
      </c>
      <c r="I13" s="10">
        <f>IF(OR(IF(OR(Deals!I26="",Deals!I10=""),1,IF(Deals!I26&gt;Deals!I10,0,1))=1,IF(Deals!I27="",1,IF(Deals!I27&gt;=0.065,0,1))=1,IF(Deals!I21="",1,IF(Deals!I21&gt;=200000,0,1))=1),1,0)</f>
        <v>0</v>
      </c>
      <c r="J13" s="10">
        <f>IF(OR(IF(OR(Deals!J26="",Deals!J10=""),1,IF(Deals!J26&gt;Deals!J10,0,1))=1,IF(Deals!J27="",1,IF(Deals!J27&gt;=0.065,0,1))=1,IF(Deals!J21="",1,IF(Deals!J21&gt;=200000,0,1))=1),1,0)</f>
        <v>1</v>
      </c>
      <c r="K13" s="10">
        <f>IF(OR(IF(OR(Deals!K26="",Deals!K10=""),1,IF(Deals!K26&gt;Deals!K10,0,1))=1,IF(Deals!K27="",1,IF(Deals!K27&gt;=0.065,0,1))=1,IF(Deals!K21="",1,IF(Deals!K21&gt;=200000,0,1))=1),1,0)</f>
        <v>1</v>
      </c>
      <c r="L13" s="10">
        <f>IF(OR(IF(OR(Deals!L26="",Deals!L10=""),1,IF(Deals!L26&gt;Deals!L10,0,1))=1,IF(Deals!L27="",1,IF(Deals!L27&gt;=0.065,0,1))=1,IF(Deals!L21="",1,IF(Deals!L21&gt;=200000,0,1))=1),1,0)</f>
        <v>1</v>
      </c>
    </row>
    <row r="14" spans="1:12" x14ac:dyDescent="0.35">
      <c r="A14" s="3" t="s">
        <v>3</v>
      </c>
      <c r="B14" s="7" t="str">
        <f t="shared" ref="B14:L14" si="1">IF(B13=1,"NO-GO",IF(B12&gt;=70,"GO",IF(B12&gt;=50,"CONDITIONAL GO","NO-GO")))</f>
        <v>GO</v>
      </c>
      <c r="C14" s="7" t="str">
        <f t="shared" si="1"/>
        <v>GO</v>
      </c>
      <c r="D14" s="7" t="str">
        <f t="shared" si="1"/>
        <v>GO</v>
      </c>
      <c r="E14" s="7" t="str">
        <f t="shared" si="1"/>
        <v>NO-GO</v>
      </c>
      <c r="F14" s="7" t="str">
        <f t="shared" si="1"/>
        <v>NO-GO</v>
      </c>
      <c r="G14" s="7" t="str">
        <f t="shared" si="1"/>
        <v>NO-GO</v>
      </c>
      <c r="H14" s="7" t="str">
        <f t="shared" si="1"/>
        <v>CONDITIONAL GO</v>
      </c>
      <c r="I14" s="7" t="str">
        <f t="shared" si="1"/>
        <v>GO</v>
      </c>
      <c r="J14" s="7" t="str">
        <f t="shared" si="1"/>
        <v>NO-GO</v>
      </c>
      <c r="K14" s="7" t="str">
        <f t="shared" si="1"/>
        <v>NO-GO</v>
      </c>
      <c r="L14" s="7" t="str">
        <f t="shared" si="1"/>
        <v>NO-GO</v>
      </c>
    </row>
  </sheetData>
  <conditionalFormatting sqref="B14:L14">
    <cfRule type="cellIs" dxfId="5" priority="1" operator="equal">
      <formula>"GO"</formula>
    </cfRule>
    <cfRule type="cellIs" dxfId="4" priority="2" operator="equal">
      <formula>"CONDITIONAL GO"</formula>
    </cfRule>
    <cfRule type="cellIs" dxfId="3" priority="3" operator="equal">
      <formula>"NO-GO"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4"/>
  <sheetViews>
    <sheetView showGridLines="0" workbookViewId="0">
      <selection activeCell="H12" sqref="H10:H12"/>
    </sheetView>
  </sheetViews>
  <sheetFormatPr defaultRowHeight="14.5" x14ac:dyDescent="0.35"/>
  <cols>
    <col min="1" max="1" width="22" customWidth="1"/>
    <col min="2" max="2" width="30" customWidth="1"/>
    <col min="3" max="4" width="16" customWidth="1"/>
  </cols>
  <sheetData>
    <row r="1" spans="1:4" x14ac:dyDescent="0.35">
      <c r="A1" s="53" t="s">
        <v>401</v>
      </c>
    </row>
    <row r="3" spans="1:4" x14ac:dyDescent="0.35">
      <c r="A3" s="20" t="s">
        <v>70</v>
      </c>
      <c r="B3" s="20" t="s">
        <v>71</v>
      </c>
      <c r="C3" s="20" t="s">
        <v>72</v>
      </c>
      <c r="D3" s="20" t="s">
        <v>73</v>
      </c>
    </row>
    <row r="4" spans="1:4" x14ac:dyDescent="0.35">
      <c r="A4" s="21" t="str">
        <f>Deals!B1</f>
        <v>Springfield (DST)</v>
      </c>
      <c r="B4" s="21" t="s">
        <v>40</v>
      </c>
      <c r="C4" s="22">
        <f>Scores!B12</f>
        <v>85</v>
      </c>
      <c r="D4" s="23" t="str">
        <f>Scores!B14</f>
        <v>GO</v>
      </c>
    </row>
    <row r="5" spans="1:4" x14ac:dyDescent="0.35">
      <c r="A5" s="21" t="str">
        <f>Deals!C1</f>
        <v>Hamburg (Dev)</v>
      </c>
      <c r="B5" s="21" t="s">
        <v>51</v>
      </c>
      <c r="C5" s="22">
        <f>Scores!C12</f>
        <v>78.5</v>
      </c>
      <c r="D5" s="23" t="str">
        <f>Scores!C14</f>
        <v>GO</v>
      </c>
    </row>
    <row r="6" spans="1:4" x14ac:dyDescent="0.35">
      <c r="A6" s="21" t="str">
        <f>Deals!D1</f>
        <v>Maple Grove (Candidate)</v>
      </c>
      <c r="B6" s="21" t="s">
        <v>51</v>
      </c>
      <c r="C6" s="22">
        <f>Scores!D12</f>
        <v>85</v>
      </c>
      <c r="D6" s="23" t="str">
        <f>Scores!D14</f>
        <v>GO</v>
      </c>
    </row>
    <row r="7" spans="1:4" x14ac:dyDescent="0.35">
      <c r="A7" s="21" t="str">
        <f>Deals!E1</f>
        <v>New Deal 1</v>
      </c>
      <c r="B7" s="21" t="str">
        <f>Deals!E2</f>
        <v>Income/Core (DST/Stabilized)</v>
      </c>
      <c r="C7" s="22">
        <f>Scores!E12</f>
        <v>17.5</v>
      </c>
      <c r="D7" s="23" t="str">
        <f>Scores!E14</f>
        <v>NO-GO</v>
      </c>
    </row>
    <row r="8" spans="1:4" x14ac:dyDescent="0.35">
      <c r="A8" s="21" t="str">
        <f>Deals!F1</f>
        <v>New Deal 2</v>
      </c>
      <c r="B8" s="21" t="str">
        <f>Deals!F2</f>
        <v>Income/Core (DST/Stabilized)</v>
      </c>
      <c r="C8" s="22">
        <f>Scores!F12</f>
        <v>17.5</v>
      </c>
      <c r="D8" s="23" t="str">
        <f>Scores!F14</f>
        <v>NO-GO</v>
      </c>
    </row>
    <row r="9" spans="1:4" x14ac:dyDescent="0.35">
      <c r="A9" s="21" t="str">
        <f>Deals!G1</f>
        <v>New Deal 3</v>
      </c>
      <c r="B9" s="21" t="str">
        <f>Deals!G2</f>
        <v>Income/Core (DST/Stabilized)</v>
      </c>
      <c r="C9" s="22">
        <f>Scores!G12</f>
        <v>17.5</v>
      </c>
      <c r="D9" s="23" t="str">
        <f>Scores!G14</f>
        <v>NO-GO</v>
      </c>
    </row>
    <row r="10" spans="1:4" x14ac:dyDescent="0.35">
      <c r="A10" s="21" t="str">
        <f>Deals!H1</f>
        <v>Armour Building</v>
      </c>
      <c r="B10" s="21" t="str">
        <f>Deals!H2</f>
        <v>Income/Core (DST/Stabilized)</v>
      </c>
      <c r="C10" s="22">
        <f>Scores!H12</f>
        <v>67</v>
      </c>
      <c r="D10" s="23" t="str">
        <f>Scores!H14</f>
        <v>CONDITIONAL GO</v>
      </c>
    </row>
    <row r="11" spans="1:4" x14ac:dyDescent="0.35">
      <c r="A11" s="21" t="str">
        <f>Deals!I1</f>
        <v>Armor (USEDC HQ)</v>
      </c>
      <c r="B11" s="21" t="str">
        <f>Deals!I2</f>
        <v>Income/Core (DST/Stabilized)</v>
      </c>
      <c r="C11" s="22">
        <f>Scores!I12</f>
        <v>72</v>
      </c>
      <c r="D11" s="23" t="str">
        <f>Scores!I14</f>
        <v>GO</v>
      </c>
    </row>
    <row r="12" spans="1:4" x14ac:dyDescent="0.35">
      <c r="A12" s="21" t="str">
        <f>Deals!J1</f>
        <v>New Deal 6</v>
      </c>
      <c r="B12" s="21" t="str">
        <f>Deals!J2</f>
        <v>Income/Core (DST/Stabilized)</v>
      </c>
      <c r="C12" s="22">
        <f>Scores!J12</f>
        <v>17.5</v>
      </c>
      <c r="D12" s="23" t="str">
        <f>Scores!J14</f>
        <v>NO-GO</v>
      </c>
    </row>
    <row r="13" spans="1:4" x14ac:dyDescent="0.35">
      <c r="A13" s="21" t="str">
        <f>Deals!K1</f>
        <v>New Deal 7</v>
      </c>
      <c r="B13" s="21" t="str">
        <f>Deals!K2</f>
        <v>Income/Core (DST/Stabilized)</v>
      </c>
      <c r="C13" s="22">
        <f>Scores!K12</f>
        <v>17.5</v>
      </c>
      <c r="D13" s="23" t="str">
        <f>Scores!K14</f>
        <v>NO-GO</v>
      </c>
    </row>
    <row r="14" spans="1:4" x14ac:dyDescent="0.35">
      <c r="A14" s="21" t="str">
        <f>Deals!L1</f>
        <v>New Deal 8</v>
      </c>
      <c r="B14" s="21" t="str">
        <f>Deals!L2</f>
        <v>Income/Core (DST/Stabilized)</v>
      </c>
      <c r="C14" s="22">
        <f>Scores!L12</f>
        <v>17.5</v>
      </c>
      <c r="D14" s="23" t="str">
        <f>Scores!L14</f>
        <v>NO-GO</v>
      </c>
    </row>
  </sheetData>
  <conditionalFormatting sqref="D4:D14">
    <cfRule type="cellIs" dxfId="2" priority="1" operator="equal">
      <formula>"GO"</formula>
    </cfRule>
    <cfRule type="cellIs" dxfId="1" priority="2" operator="equal">
      <formula>"CONDITIONAL GO"</formula>
    </cfRule>
    <cfRule type="cellIs" dxfId="0" priority="3" operator="equal">
      <formula>"NO-GO"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61"/>
  <sheetViews>
    <sheetView showGridLines="0" workbookViewId="0">
      <pane ySplit="1" topLeftCell="A2" activePane="bottomLeft" state="frozen"/>
      <selection pane="bottomLeft" activeCell="O5" sqref="O5"/>
    </sheetView>
  </sheetViews>
  <sheetFormatPr defaultRowHeight="14.5" x14ac:dyDescent="0.35"/>
  <cols>
    <col min="1" max="1" width="2.81640625" bestFit="1" customWidth="1"/>
    <col min="2" max="2" width="15.54296875" bestFit="1" customWidth="1"/>
    <col min="3" max="3" width="44.26953125" bestFit="1" customWidth="1"/>
    <col min="4" max="4" width="26.7265625" bestFit="1" customWidth="1"/>
    <col min="5" max="5" width="10.1796875" bestFit="1" customWidth="1"/>
    <col min="6" max="6" width="11" bestFit="1" customWidth="1"/>
    <col min="7" max="7" width="9.90625" bestFit="1" customWidth="1"/>
    <col min="8" max="8" width="6.08984375" bestFit="1" customWidth="1"/>
    <col min="9" max="9" width="7.6328125" bestFit="1" customWidth="1"/>
    <col min="10" max="10" width="9.81640625" bestFit="1" customWidth="1"/>
    <col min="11" max="11" width="10.453125" bestFit="1" customWidth="1"/>
    <col min="12" max="12" width="7.7265625" customWidth="1"/>
    <col min="13" max="13" width="5.54296875" bestFit="1" customWidth="1"/>
  </cols>
  <sheetData>
    <row r="1" spans="1:13" x14ac:dyDescent="0.35">
      <c r="A1" s="9" t="s">
        <v>74</v>
      </c>
      <c r="B1" s="9" t="s">
        <v>75</v>
      </c>
      <c r="C1" s="9" t="s">
        <v>76</v>
      </c>
      <c r="D1" s="9" t="s">
        <v>77</v>
      </c>
      <c r="E1" s="9" t="s">
        <v>78</v>
      </c>
      <c r="F1" s="9" t="s">
        <v>79</v>
      </c>
      <c r="G1" s="9" t="s">
        <v>80</v>
      </c>
      <c r="H1" s="9" t="s">
        <v>81</v>
      </c>
      <c r="I1" s="9" t="s">
        <v>82</v>
      </c>
      <c r="J1" s="9" t="s">
        <v>83</v>
      </c>
      <c r="K1" s="9" t="s">
        <v>84</v>
      </c>
      <c r="L1" s="9" t="s">
        <v>85</v>
      </c>
      <c r="M1" s="9" t="s">
        <v>72</v>
      </c>
    </row>
    <row r="2" spans="1:13" x14ac:dyDescent="0.35">
      <c r="A2" s="10">
        <v>1</v>
      </c>
      <c r="B2" s="10" t="s">
        <v>86</v>
      </c>
      <c r="C2" s="10" t="s">
        <v>87</v>
      </c>
      <c r="D2" s="15" t="s">
        <v>88</v>
      </c>
      <c r="E2" s="13">
        <v>498212</v>
      </c>
      <c r="F2" s="12">
        <v>1.5647942994831479E-3</v>
      </c>
      <c r="G2" s="12">
        <v>2.268289516625149E-2</v>
      </c>
      <c r="H2" s="12">
        <v>0.1805129870028726</v>
      </c>
      <c r="I2" s="12">
        <v>5.7309160305343512E-2</v>
      </c>
      <c r="J2" s="12">
        <v>0.1278515203448444</v>
      </c>
      <c r="K2" s="12">
        <v>705.42360039500909</v>
      </c>
      <c r="L2" s="12">
        <v>0.27591671168001392</v>
      </c>
      <c r="M2" s="16">
        <v>0.70466161559895413</v>
      </c>
    </row>
    <row r="3" spans="1:13" ht="29" x14ac:dyDescent="0.35">
      <c r="A3" s="10">
        <v>2</v>
      </c>
      <c r="B3" s="10" t="s">
        <v>89</v>
      </c>
      <c r="C3" s="10" t="s">
        <v>90</v>
      </c>
      <c r="D3" s="15" t="s">
        <v>91</v>
      </c>
      <c r="E3" s="13">
        <v>1082273</v>
      </c>
      <c r="F3" s="12">
        <v>5.0471034711591393E-3</v>
      </c>
      <c r="G3" s="12">
        <v>0.1015749049357477</v>
      </c>
      <c r="H3" s="12">
        <v>0.23261657707006189</v>
      </c>
      <c r="I3" s="12">
        <v>6.7446236559139783E-2</v>
      </c>
      <c r="J3" s="12">
        <v>0.18384865828925179</v>
      </c>
      <c r="K3" s="12">
        <v>1164.0242173011211</v>
      </c>
      <c r="L3" s="12">
        <v>0.35264626475245459</v>
      </c>
      <c r="M3" s="16">
        <v>0.65115600970431498</v>
      </c>
    </row>
    <row r="4" spans="1:13" ht="29" x14ac:dyDescent="0.35">
      <c r="A4" s="10">
        <v>3</v>
      </c>
      <c r="B4" s="10" t="s">
        <v>92</v>
      </c>
      <c r="C4" s="10" t="s">
        <v>93</v>
      </c>
      <c r="D4" s="15" t="s">
        <v>94</v>
      </c>
      <c r="E4" s="13">
        <v>793144</v>
      </c>
      <c r="F4" s="12">
        <v>-1.2841193167920789E-3</v>
      </c>
      <c r="G4" s="12">
        <v>0.15546152830592949</v>
      </c>
      <c r="H4" s="12">
        <v>0.23807147560560149</v>
      </c>
      <c r="I4" s="12">
        <v>6.1008771929824568E-2</v>
      </c>
      <c r="J4" s="12">
        <v>0.16388798861443291</v>
      </c>
      <c r="K4" s="12">
        <v>1028.792166846084</v>
      </c>
      <c r="L4" s="12">
        <v>0.34058840458761952</v>
      </c>
      <c r="M4" s="16">
        <v>0.64384611029313032</v>
      </c>
    </row>
    <row r="5" spans="1:13" ht="22" customHeight="1" x14ac:dyDescent="0.35">
      <c r="A5" s="10">
        <v>4</v>
      </c>
      <c r="B5" s="10" t="s">
        <v>95</v>
      </c>
      <c r="C5" s="10" t="s">
        <v>90</v>
      </c>
      <c r="D5" s="15" t="s">
        <v>95</v>
      </c>
      <c r="E5" s="13">
        <v>702250</v>
      </c>
      <c r="F5" s="12">
        <v>1.1675438243478701E-2</v>
      </c>
      <c r="G5" s="12">
        <v>9.1874011413989792E-2</v>
      </c>
      <c r="H5" s="12">
        <v>0.27450887626453457</v>
      </c>
      <c r="I5" s="12">
        <v>6.4362745098039215E-2</v>
      </c>
      <c r="J5" s="12">
        <v>0.10709194206192971</v>
      </c>
      <c r="K5" s="12">
        <v>427.29196963890479</v>
      </c>
      <c r="L5" s="12">
        <v>0.18358658565330049</v>
      </c>
      <c r="M5" s="16">
        <v>0.64269911392656054</v>
      </c>
    </row>
    <row r="6" spans="1:13" ht="26" customHeight="1" x14ac:dyDescent="0.35">
      <c r="A6" s="10">
        <v>5</v>
      </c>
      <c r="B6" s="10" t="s">
        <v>96</v>
      </c>
      <c r="C6" s="10" t="s">
        <v>90</v>
      </c>
      <c r="D6" s="15" t="s">
        <v>97</v>
      </c>
      <c r="E6" s="13">
        <v>239807</v>
      </c>
      <c r="F6" s="12">
        <v>1.0237450225893841E-3</v>
      </c>
      <c r="G6" s="12">
        <v>0.1017281794254757</v>
      </c>
      <c r="H6" s="12">
        <v>0.24851629803941061</v>
      </c>
      <c r="I6" s="12">
        <v>6.8611111111111123E-2</v>
      </c>
      <c r="J6" s="12">
        <v>0.14445976638873431</v>
      </c>
      <c r="K6" s="12">
        <v>758.48655277623186</v>
      </c>
      <c r="L6" s="12">
        <v>0.26359263178897591</v>
      </c>
      <c r="M6" s="16">
        <v>0.61096061344176755</v>
      </c>
    </row>
    <row r="7" spans="1:13" ht="29" x14ac:dyDescent="0.35">
      <c r="A7" s="10">
        <v>6</v>
      </c>
      <c r="B7" s="10" t="s">
        <v>92</v>
      </c>
      <c r="C7" s="10" t="s">
        <v>93</v>
      </c>
      <c r="D7" s="15" t="s">
        <v>98</v>
      </c>
      <c r="E7" s="13">
        <v>1668956</v>
      </c>
      <c r="F7" s="12">
        <v>6.3557629803302823E-3</v>
      </c>
      <c r="G7" s="12">
        <v>6.888672077566331E-2</v>
      </c>
      <c r="H7" s="12">
        <v>0.27043298413263511</v>
      </c>
      <c r="I7" s="12">
        <v>6.1517857142857138E-2</v>
      </c>
      <c r="J7" s="12">
        <v>0.13746102839535079</v>
      </c>
      <c r="K7" s="12">
        <v>759.43171252493653</v>
      </c>
      <c r="L7" s="12">
        <v>0.27564755774687089</v>
      </c>
      <c r="M7" s="16">
        <v>0.60889696065106624</v>
      </c>
    </row>
    <row r="8" spans="1:13" x14ac:dyDescent="0.35">
      <c r="A8" s="10">
        <v>7</v>
      </c>
      <c r="B8" s="10" t="s">
        <v>99</v>
      </c>
      <c r="C8" s="10" t="s">
        <v>87</v>
      </c>
      <c r="D8" s="15" t="s">
        <v>100</v>
      </c>
      <c r="E8" s="13">
        <v>881527</v>
      </c>
      <c r="F8" s="12">
        <v>6.2518894909420709E-3</v>
      </c>
      <c r="G8" s="12">
        <v>0.12459085827824749</v>
      </c>
      <c r="H8" s="12">
        <v>0.28786840333193642</v>
      </c>
      <c r="I8" s="12">
        <v>6.0277777777777777E-2</v>
      </c>
      <c r="J8" s="12">
        <v>0.11114545146031179</v>
      </c>
      <c r="K8" s="12">
        <v>508.67673682534002</v>
      </c>
      <c r="L8" s="12">
        <v>0.2114777578746507</v>
      </c>
      <c r="M8" s="16">
        <v>0.60386406492421074</v>
      </c>
    </row>
    <row r="9" spans="1:13" x14ac:dyDescent="0.35">
      <c r="A9" s="10">
        <v>8</v>
      </c>
      <c r="B9" s="10" t="s">
        <v>101</v>
      </c>
      <c r="C9" s="10" t="s">
        <v>102</v>
      </c>
      <c r="D9" s="15" t="s">
        <v>103</v>
      </c>
      <c r="E9" s="13">
        <v>2340211</v>
      </c>
      <c r="F9" s="12">
        <v>7.2396540724400686E-3</v>
      </c>
      <c r="G9" s="12">
        <v>5.81622445878884E-2</v>
      </c>
      <c r="H9" s="12">
        <v>0.27970697237539399</v>
      </c>
      <c r="I9" s="12">
        <v>6.2873831775700939E-2</v>
      </c>
      <c r="J9" s="12">
        <v>0.1087437246585944</v>
      </c>
      <c r="K9" s="12">
        <v>458.69892882893458</v>
      </c>
      <c r="L9" s="12">
        <v>0.19385503143720961</v>
      </c>
      <c r="M9" s="16">
        <v>0.60206853302860996</v>
      </c>
    </row>
    <row r="10" spans="1:13" ht="29" x14ac:dyDescent="0.35">
      <c r="A10" s="10">
        <v>9</v>
      </c>
      <c r="B10" s="10" t="s">
        <v>101</v>
      </c>
      <c r="C10" s="10" t="s">
        <v>102</v>
      </c>
      <c r="D10" s="15" t="s">
        <v>104</v>
      </c>
      <c r="E10" s="13">
        <v>864113</v>
      </c>
      <c r="F10" s="12">
        <v>1.028283984457363E-2</v>
      </c>
      <c r="G10" s="12">
        <v>3.0198934202769138E-2</v>
      </c>
      <c r="H10" s="12">
        <v>0.30276535022097539</v>
      </c>
      <c r="I10" s="12">
        <v>6.3452380952380955E-2</v>
      </c>
      <c r="J10" s="12">
        <v>0.1258751418038474</v>
      </c>
      <c r="K10" s="12">
        <v>624.22760851466478</v>
      </c>
      <c r="L10" s="12">
        <v>0.23628763056422361</v>
      </c>
      <c r="M10" s="16">
        <v>0.59298609651492962</v>
      </c>
    </row>
    <row r="11" spans="1:13" x14ac:dyDescent="0.35">
      <c r="A11" s="10">
        <v>10</v>
      </c>
      <c r="B11" s="10" t="s">
        <v>96</v>
      </c>
      <c r="C11" s="10" t="s">
        <v>90</v>
      </c>
      <c r="D11" s="15" t="s">
        <v>105</v>
      </c>
      <c r="E11" s="13">
        <v>1160925</v>
      </c>
      <c r="F11" s="12">
        <v>2.6650154960476372E-3</v>
      </c>
      <c r="G11" s="12">
        <v>8.4030308168162871E-2</v>
      </c>
      <c r="H11" s="12">
        <v>0.29411642097439261</v>
      </c>
      <c r="I11" s="12">
        <v>6.7826086956521731E-2</v>
      </c>
      <c r="J11" s="12">
        <v>0.1320383831099666</v>
      </c>
      <c r="K11" s="12">
        <v>642.12296153444868</v>
      </c>
      <c r="L11" s="12">
        <v>0.23477006852357429</v>
      </c>
      <c r="M11" s="16">
        <v>0.59276254325064281</v>
      </c>
    </row>
    <row r="12" spans="1:13" ht="29" x14ac:dyDescent="0.35">
      <c r="A12" s="10">
        <v>11</v>
      </c>
      <c r="B12" s="10" t="s">
        <v>92</v>
      </c>
      <c r="C12" s="10" t="s">
        <v>106</v>
      </c>
      <c r="D12" s="15" t="s">
        <v>107</v>
      </c>
      <c r="E12" s="13">
        <v>232570</v>
      </c>
      <c r="F12" s="12">
        <v>4.9438744190125408E-3</v>
      </c>
      <c r="G12" s="12">
        <v>2.4284650545723721E-2</v>
      </c>
      <c r="H12" s="12">
        <v>0.24808933483463119</v>
      </c>
      <c r="I12" s="12">
        <v>6.2248283752860407E-2</v>
      </c>
      <c r="J12" s="12">
        <v>0.1756601115783924</v>
      </c>
      <c r="K12" s="12">
        <v>1134.1182782553201</v>
      </c>
      <c r="L12" s="12">
        <v>0.35838913994627059</v>
      </c>
      <c r="M12" s="16">
        <v>0.59042499849478758</v>
      </c>
    </row>
    <row r="13" spans="1:13" x14ac:dyDescent="0.35">
      <c r="A13" s="10">
        <v>12</v>
      </c>
      <c r="B13" s="10" t="s">
        <v>108</v>
      </c>
      <c r="C13" s="10" t="s">
        <v>109</v>
      </c>
      <c r="D13" s="15" t="s">
        <v>110</v>
      </c>
      <c r="E13" s="13">
        <v>513862</v>
      </c>
      <c r="F13" s="12">
        <v>4.8609061092993469E-2</v>
      </c>
      <c r="G13" s="12">
        <v>0.19485752115652011</v>
      </c>
      <c r="H13" s="12">
        <v>0.3641494014068134</v>
      </c>
      <c r="I13" s="12">
        <v>6.9431818181818178E-2</v>
      </c>
      <c r="J13" s="12">
        <v>8.5522026793032668E-2</v>
      </c>
      <c r="K13" s="12">
        <v>160.9020861121449</v>
      </c>
      <c r="L13" s="12">
        <v>9.3876339967416955E-2</v>
      </c>
      <c r="M13" s="16">
        <v>0.58867300501431608</v>
      </c>
    </row>
    <row r="14" spans="1:13" x14ac:dyDescent="0.35">
      <c r="A14" s="10">
        <v>13</v>
      </c>
      <c r="B14" s="10" t="s">
        <v>111</v>
      </c>
      <c r="C14" s="10" t="s">
        <v>112</v>
      </c>
      <c r="D14" s="15" t="s">
        <v>113</v>
      </c>
      <c r="E14" s="13">
        <v>542973</v>
      </c>
      <c r="F14" s="12">
        <v>1.0785430639153E-2</v>
      </c>
      <c r="G14" s="12">
        <v>6.0982638261302523E-3</v>
      </c>
      <c r="H14" s="12">
        <v>0.29384851181194382</v>
      </c>
      <c r="I14" s="12">
        <v>6.7826086956521731E-2</v>
      </c>
      <c r="J14" s="12">
        <v>0.10231592804159741</v>
      </c>
      <c r="K14" s="12">
        <v>344.89841085075682</v>
      </c>
      <c r="L14" s="12">
        <v>0.15514161684362701</v>
      </c>
      <c r="M14" s="16">
        <v>0.5886267543725423</v>
      </c>
    </row>
    <row r="15" spans="1:13" x14ac:dyDescent="0.35">
      <c r="A15" s="10">
        <v>14</v>
      </c>
      <c r="B15" s="10" t="s">
        <v>86</v>
      </c>
      <c r="C15" s="10" t="s">
        <v>87</v>
      </c>
      <c r="D15" s="15" t="s">
        <v>114</v>
      </c>
      <c r="E15" s="13">
        <v>1392438</v>
      </c>
      <c r="F15" s="12">
        <v>3.3331319790821701E-4</v>
      </c>
      <c r="G15" s="12">
        <v>4.2659930277535577E-2</v>
      </c>
      <c r="H15" s="12">
        <v>0.24970286761423099</v>
      </c>
      <c r="I15" s="12">
        <v>5.7309160305343512E-2</v>
      </c>
      <c r="J15" s="12">
        <v>0.12507266109171819</v>
      </c>
      <c r="K15" s="12">
        <v>677.63500786374732</v>
      </c>
      <c r="L15" s="12">
        <v>0.26498076650632879</v>
      </c>
      <c r="M15" s="16">
        <v>0.58778872383117253</v>
      </c>
    </row>
    <row r="16" spans="1:13" ht="29" x14ac:dyDescent="0.35">
      <c r="A16" s="10">
        <v>15</v>
      </c>
      <c r="B16" s="10" t="s">
        <v>86</v>
      </c>
      <c r="C16" s="10" t="s">
        <v>87</v>
      </c>
      <c r="D16" s="15" t="s">
        <v>115</v>
      </c>
      <c r="E16" s="13">
        <v>1006447</v>
      </c>
      <c r="F16" s="12">
        <v>1.23765712853561E-3</v>
      </c>
      <c r="G16" s="12">
        <v>0.22815066268645259</v>
      </c>
      <c r="H16" s="12">
        <v>0.2467905093539095</v>
      </c>
      <c r="I16" s="12">
        <v>5.98109243697479E-2</v>
      </c>
      <c r="J16" s="12">
        <v>0.1553415961983399</v>
      </c>
      <c r="K16" s="12">
        <v>955.30671828591971</v>
      </c>
      <c r="L16" s="12">
        <v>0.32660861484479931</v>
      </c>
      <c r="M16" s="16">
        <v>0.58153428238262017</v>
      </c>
    </row>
    <row r="17" spans="1:13" x14ac:dyDescent="0.35">
      <c r="A17" s="10">
        <v>16</v>
      </c>
      <c r="B17" s="10" t="s">
        <v>111</v>
      </c>
      <c r="C17" s="10" t="s">
        <v>112</v>
      </c>
      <c r="D17" s="15" t="s">
        <v>116</v>
      </c>
      <c r="E17" s="13">
        <v>393995</v>
      </c>
      <c r="F17" s="12">
        <v>2.3359337490668201E-2</v>
      </c>
      <c r="G17" s="12">
        <v>3.680884561651971E-2</v>
      </c>
      <c r="H17" s="12">
        <v>0.36962079152399302</v>
      </c>
      <c r="I17" s="12">
        <v>6.7826086956521731E-2</v>
      </c>
      <c r="J17" s="12">
        <v>8.7210382903591607E-2</v>
      </c>
      <c r="K17" s="12">
        <v>193.84295947069879</v>
      </c>
      <c r="L17" s="12">
        <v>0.10466611843590611</v>
      </c>
      <c r="M17" s="16">
        <v>0.58053222357776912</v>
      </c>
    </row>
    <row r="18" spans="1:13" x14ac:dyDescent="0.35">
      <c r="A18" s="10">
        <v>17</v>
      </c>
      <c r="B18" s="10" t="s">
        <v>89</v>
      </c>
      <c r="C18" s="10" t="s">
        <v>117</v>
      </c>
      <c r="D18" s="15" t="s">
        <v>118</v>
      </c>
      <c r="E18" s="13">
        <v>339668</v>
      </c>
      <c r="F18" s="12">
        <v>5.1431550292800037E-3</v>
      </c>
      <c r="G18" s="12">
        <v>0.11972285755016659</v>
      </c>
      <c r="H18" s="12">
        <v>0.30321081904177838</v>
      </c>
      <c r="I18" s="12">
        <v>6.7446236559139783E-2</v>
      </c>
      <c r="J18" s="12">
        <v>0.1075826936427989</v>
      </c>
      <c r="K18" s="12">
        <v>401.36457083659087</v>
      </c>
      <c r="L18" s="12">
        <v>0.17142183083780929</v>
      </c>
      <c r="M18" s="16">
        <v>0.57858660213866908</v>
      </c>
    </row>
    <row r="19" spans="1:13" x14ac:dyDescent="0.35">
      <c r="A19" s="10">
        <v>18</v>
      </c>
      <c r="B19" s="10" t="s">
        <v>119</v>
      </c>
      <c r="C19" s="10" t="s">
        <v>120</v>
      </c>
      <c r="D19" s="15" t="s">
        <v>121</v>
      </c>
      <c r="E19" s="13">
        <v>1232444</v>
      </c>
      <c r="F19" s="12">
        <v>2.249724505480705E-2</v>
      </c>
      <c r="G19" s="12">
        <v>9.4206725743852485E-2</v>
      </c>
      <c r="H19" s="12">
        <v>0.33769376167515719</v>
      </c>
      <c r="I19" s="12">
        <v>7.0735294117647063E-2</v>
      </c>
      <c r="J19" s="12">
        <v>9.0254038636201558E-2</v>
      </c>
      <c r="K19" s="12">
        <v>195.18744518554499</v>
      </c>
      <c r="L19" s="12">
        <v>0.1062492378825894</v>
      </c>
      <c r="M19" s="16">
        <v>0.57737037071721264</v>
      </c>
    </row>
    <row r="20" spans="1:13" ht="29" x14ac:dyDescent="0.35">
      <c r="A20" s="10">
        <v>19</v>
      </c>
      <c r="B20" s="10" t="s">
        <v>122</v>
      </c>
      <c r="C20" s="10" t="s">
        <v>123</v>
      </c>
      <c r="D20" s="15" t="s">
        <v>124</v>
      </c>
      <c r="E20" s="13">
        <v>283960</v>
      </c>
      <c r="F20" s="12">
        <v>1.4493293591654251E-2</v>
      </c>
      <c r="G20" s="12">
        <v>0</v>
      </c>
      <c r="H20" s="12">
        <v>0.30217475815195521</v>
      </c>
      <c r="I20" s="12">
        <v>6.2592592592592589E-2</v>
      </c>
      <c r="J20" s="12">
        <v>9.7513137072979178E-2</v>
      </c>
      <c r="K20" s="12">
        <v>349.20544480386587</v>
      </c>
      <c r="L20" s="12">
        <v>0.16053059493664071</v>
      </c>
      <c r="M20" s="16">
        <v>0.57597841621949886</v>
      </c>
    </row>
    <row r="21" spans="1:13" x14ac:dyDescent="0.35">
      <c r="A21" s="10">
        <v>20</v>
      </c>
      <c r="B21" s="10" t="s">
        <v>111</v>
      </c>
      <c r="C21" s="10" t="s">
        <v>112</v>
      </c>
      <c r="D21" s="15" t="s">
        <v>125</v>
      </c>
      <c r="E21" s="13">
        <v>729019</v>
      </c>
      <c r="F21" s="12">
        <v>3.9711128452384267E-3</v>
      </c>
      <c r="G21" s="12">
        <v>8.6027838555002095E-2</v>
      </c>
      <c r="H21" s="12">
        <v>0.30189835575449031</v>
      </c>
      <c r="I21" s="12">
        <v>6.7826086956521731E-2</v>
      </c>
      <c r="J21" s="12">
        <v>0.1049313061082367</v>
      </c>
      <c r="K21" s="12">
        <v>371.05219151715011</v>
      </c>
      <c r="L21" s="12">
        <v>0.16250543921040661</v>
      </c>
      <c r="M21" s="16">
        <v>0.57479890473288908</v>
      </c>
    </row>
    <row r="22" spans="1:13" x14ac:dyDescent="0.35">
      <c r="A22" s="10">
        <v>21</v>
      </c>
      <c r="B22" s="10" t="s">
        <v>99</v>
      </c>
      <c r="C22" s="10" t="s">
        <v>87</v>
      </c>
      <c r="D22" s="15" t="s">
        <v>126</v>
      </c>
      <c r="E22" s="13">
        <v>736185</v>
      </c>
      <c r="F22" s="12">
        <v>4.943836411514471E-3</v>
      </c>
      <c r="G22" s="12">
        <v>9.5080424892146798E-2</v>
      </c>
      <c r="H22" s="12">
        <v>0.29700265548601018</v>
      </c>
      <c r="I22" s="12">
        <v>6.0760869565217403E-2</v>
      </c>
      <c r="J22" s="12">
        <v>7.3903763372734729E-2</v>
      </c>
      <c r="K22" s="12">
        <v>131.42893807517331</v>
      </c>
      <c r="L22" s="12">
        <v>8.784070868415883E-2</v>
      </c>
      <c r="M22" s="16">
        <v>0.57303561648874091</v>
      </c>
    </row>
    <row r="23" spans="1:13" x14ac:dyDescent="0.35">
      <c r="A23" s="10">
        <v>22</v>
      </c>
      <c r="B23" s="10" t="s">
        <v>119</v>
      </c>
      <c r="C23" s="10" t="s">
        <v>127</v>
      </c>
      <c r="D23" s="15" t="s">
        <v>128</v>
      </c>
      <c r="E23" s="13">
        <v>263386</v>
      </c>
      <c r="F23" s="12">
        <v>2.471754948099196E-2</v>
      </c>
      <c r="G23" s="12">
        <v>8.6435248419817798E-2</v>
      </c>
      <c r="H23" s="12">
        <v>0.35622642791683101</v>
      </c>
      <c r="I23" s="12">
        <v>7.0511695906432748E-2</v>
      </c>
      <c r="J23" s="12">
        <v>9.9424120404303734E-2</v>
      </c>
      <c r="K23" s="12">
        <v>289.1242449787099</v>
      </c>
      <c r="L23" s="12">
        <v>0.133804371244409</v>
      </c>
      <c r="M23" s="16">
        <v>0.57267100195698162</v>
      </c>
    </row>
    <row r="24" spans="1:13" ht="29" x14ac:dyDescent="0.35">
      <c r="A24" s="10">
        <v>23</v>
      </c>
      <c r="B24" s="10" t="s">
        <v>129</v>
      </c>
      <c r="C24" s="10" t="s">
        <v>130</v>
      </c>
      <c r="D24" s="15" t="s">
        <v>131</v>
      </c>
      <c r="E24" s="13">
        <v>269136</v>
      </c>
      <c r="F24" s="12">
        <v>1.9550028844304849E-2</v>
      </c>
      <c r="G24" s="12">
        <v>9.363192916145506E-2</v>
      </c>
      <c r="H24" s="12">
        <v>0.32025244456298058</v>
      </c>
      <c r="I24" s="12">
        <v>6.9223163841807905E-2</v>
      </c>
      <c r="J24" s="12">
        <v>0.1146963724034869</v>
      </c>
      <c r="K24" s="12">
        <v>454.73208561678962</v>
      </c>
      <c r="L24" s="12">
        <v>0.18333018061511511</v>
      </c>
      <c r="M24" s="16">
        <v>0.57258151987584094</v>
      </c>
    </row>
    <row r="25" spans="1:13" x14ac:dyDescent="0.35">
      <c r="A25" s="10">
        <v>24</v>
      </c>
      <c r="B25" s="10" t="s">
        <v>132</v>
      </c>
      <c r="C25" s="10" t="s">
        <v>133</v>
      </c>
      <c r="D25" s="15" t="s">
        <v>134</v>
      </c>
      <c r="E25" s="13">
        <v>313809</v>
      </c>
      <c r="F25" s="12">
        <v>8.4015138040750177E-3</v>
      </c>
      <c r="G25" s="12">
        <v>6.8401291951535423E-2</v>
      </c>
      <c r="H25" s="12">
        <v>0.27166294714505201</v>
      </c>
      <c r="I25" s="12">
        <v>6.7074468085106392E-2</v>
      </c>
      <c r="J25" s="12">
        <v>0.122341588018824</v>
      </c>
      <c r="K25" s="12">
        <v>552.67119933717606</v>
      </c>
      <c r="L25" s="12">
        <v>0.21444816781167139</v>
      </c>
      <c r="M25" s="16">
        <v>0.57233577380697442</v>
      </c>
    </row>
    <row r="26" spans="1:13" x14ac:dyDescent="0.35">
      <c r="A26" s="10">
        <v>25</v>
      </c>
      <c r="B26" s="10" t="s">
        <v>96</v>
      </c>
      <c r="C26" s="10" t="s">
        <v>90</v>
      </c>
      <c r="D26" s="15" t="s">
        <v>135</v>
      </c>
      <c r="E26" s="13">
        <v>443380</v>
      </c>
      <c r="F26" s="12">
        <v>1.221662885624865E-2</v>
      </c>
      <c r="G26" s="12">
        <v>5.3431742205756458E-2</v>
      </c>
      <c r="H26" s="12">
        <v>0.340748633274359</v>
      </c>
      <c r="I26" s="12">
        <v>6.7826086956521731E-2</v>
      </c>
      <c r="J26" s="12">
        <v>0.1298745982297467</v>
      </c>
      <c r="K26" s="12">
        <v>620.48511273224949</v>
      </c>
      <c r="L26" s="12">
        <v>0.22613099620403079</v>
      </c>
      <c r="M26" s="16">
        <v>0.57218445001792173</v>
      </c>
    </row>
    <row r="27" spans="1:13" x14ac:dyDescent="0.35">
      <c r="A27" s="10">
        <v>26</v>
      </c>
      <c r="B27" s="10" t="s">
        <v>136</v>
      </c>
      <c r="C27" s="10" t="s">
        <v>137</v>
      </c>
      <c r="D27" s="15" t="s">
        <v>138</v>
      </c>
      <c r="E27" s="13">
        <v>291782</v>
      </c>
      <c r="F27" s="12">
        <v>1.0738476935999859E-2</v>
      </c>
      <c r="G27" s="12">
        <v>0.19341701600109271</v>
      </c>
      <c r="H27" s="12">
        <v>0.25738718937811328</v>
      </c>
      <c r="I27" s="12">
        <v>7.0735294117647063E-2</v>
      </c>
      <c r="J27" s="12">
        <v>0.15603346202254431</v>
      </c>
      <c r="K27" s="12">
        <v>852.98167904897252</v>
      </c>
      <c r="L27" s="12">
        <v>0.28027791730241769</v>
      </c>
      <c r="M27" s="16">
        <v>0.5697300571785413</v>
      </c>
    </row>
    <row r="28" spans="1:13" ht="29" x14ac:dyDescent="0.35">
      <c r="A28" s="10">
        <v>27</v>
      </c>
      <c r="B28" s="10" t="s">
        <v>139</v>
      </c>
      <c r="C28" s="10" t="s">
        <v>140</v>
      </c>
      <c r="D28" s="15" t="s">
        <v>141</v>
      </c>
      <c r="E28" s="13">
        <v>431001</v>
      </c>
      <c r="F28" s="12">
        <v>1.283241210075179E-2</v>
      </c>
      <c r="G28" s="12">
        <v>5.5497280709327822E-2</v>
      </c>
      <c r="H28" s="12">
        <v>0.28339139263795537</v>
      </c>
      <c r="I28" s="12">
        <v>7.0735294117647063E-2</v>
      </c>
      <c r="J28" s="12">
        <v>0.11695215588282611</v>
      </c>
      <c r="K28" s="12">
        <v>462.16861765179078</v>
      </c>
      <c r="L28" s="12">
        <v>0.1858527966173342</v>
      </c>
      <c r="M28" s="16">
        <v>0.56490276025708874</v>
      </c>
    </row>
    <row r="29" spans="1:13" x14ac:dyDescent="0.35">
      <c r="A29" s="10">
        <v>28</v>
      </c>
      <c r="B29" s="10" t="s">
        <v>129</v>
      </c>
      <c r="C29" s="10" t="s">
        <v>130</v>
      </c>
      <c r="D29" s="15" t="s">
        <v>142</v>
      </c>
      <c r="E29" s="13">
        <v>729505</v>
      </c>
      <c r="F29" s="12">
        <v>4.681641402327903E-3</v>
      </c>
      <c r="G29" s="12">
        <v>6.6719405018518543E-2</v>
      </c>
      <c r="H29" s="12">
        <v>0.28157941681187199</v>
      </c>
      <c r="I29" s="12">
        <v>6.9016853932584277E-2</v>
      </c>
      <c r="J29" s="12">
        <v>0.13248250735889561</v>
      </c>
      <c r="K29" s="12">
        <v>634.65653426311337</v>
      </c>
      <c r="L29" s="12">
        <v>0.23177872604533301</v>
      </c>
      <c r="M29" s="16">
        <v>0.56368206948463273</v>
      </c>
    </row>
    <row r="30" spans="1:13" ht="29" x14ac:dyDescent="0.35">
      <c r="A30" s="10">
        <v>29</v>
      </c>
      <c r="B30" s="10" t="s">
        <v>89</v>
      </c>
      <c r="C30" s="10" t="s">
        <v>90</v>
      </c>
      <c r="D30" s="15" t="s">
        <v>143</v>
      </c>
      <c r="E30" s="13">
        <v>966629</v>
      </c>
      <c r="F30" s="12">
        <v>3.1878044081301191E-4</v>
      </c>
      <c r="G30" s="12">
        <v>0.1261261721610786</v>
      </c>
      <c r="H30" s="12">
        <v>0.30732734761253649</v>
      </c>
      <c r="I30" s="12">
        <v>6.7446236559139783E-2</v>
      </c>
      <c r="J30" s="12">
        <v>0.1161070202837593</v>
      </c>
      <c r="K30" s="12">
        <v>486.60783724619529</v>
      </c>
      <c r="L30" s="12">
        <v>0.19459674225979651</v>
      </c>
      <c r="M30" s="16">
        <v>0.56047846245654953</v>
      </c>
    </row>
    <row r="31" spans="1:13" ht="29" x14ac:dyDescent="0.35">
      <c r="A31" s="10">
        <v>30</v>
      </c>
      <c r="B31" s="10" t="s">
        <v>119</v>
      </c>
      <c r="C31" s="10" t="s">
        <v>120</v>
      </c>
      <c r="D31" s="15" t="s">
        <v>144</v>
      </c>
      <c r="E31" s="13">
        <v>249794</v>
      </c>
      <c r="F31" s="12">
        <v>3.7217260125284007E-2</v>
      </c>
      <c r="G31" s="12">
        <v>5.0142606529565377E-2</v>
      </c>
      <c r="H31" s="12">
        <v>0.37341064854193451</v>
      </c>
      <c r="I31" s="12">
        <v>7.0511695906432748E-2</v>
      </c>
      <c r="J31" s="12">
        <v>9.6206880208629636E-2</v>
      </c>
      <c r="K31" s="12">
        <v>256.9518430219689</v>
      </c>
      <c r="L31" s="12">
        <v>0.1232297947055534</v>
      </c>
      <c r="M31" s="16">
        <v>0.56027060608062329</v>
      </c>
    </row>
    <row r="32" spans="1:13" ht="29" x14ac:dyDescent="0.35">
      <c r="A32" s="10">
        <v>31</v>
      </c>
      <c r="B32" s="10" t="s">
        <v>92</v>
      </c>
      <c r="C32" s="10" t="s">
        <v>93</v>
      </c>
      <c r="D32" s="15" t="s">
        <v>145</v>
      </c>
      <c r="E32" s="13">
        <v>740754</v>
      </c>
      <c r="F32" s="12">
        <v>5.8735751295336787E-3</v>
      </c>
      <c r="G32" s="12">
        <v>0.113693195247111</v>
      </c>
      <c r="H32" s="12">
        <v>0.28463353378344081</v>
      </c>
      <c r="I32" s="12">
        <v>6.2248283752860407E-2</v>
      </c>
      <c r="J32" s="12">
        <v>0.10510989502851489</v>
      </c>
      <c r="K32" s="12">
        <v>428.61611275654462</v>
      </c>
      <c r="L32" s="12">
        <v>0.18547920235083359</v>
      </c>
      <c r="M32" s="16">
        <v>0.5597331685070025</v>
      </c>
    </row>
    <row r="33" spans="1:13" ht="29" x14ac:dyDescent="0.35">
      <c r="A33" s="10">
        <v>32</v>
      </c>
      <c r="B33" s="10" t="s">
        <v>139</v>
      </c>
      <c r="C33" s="10" t="s">
        <v>140</v>
      </c>
      <c r="D33" s="15" t="s">
        <v>146</v>
      </c>
      <c r="E33" s="13">
        <v>264276</v>
      </c>
      <c r="F33" s="12">
        <v>3.5385386250151182E-2</v>
      </c>
      <c r="G33" s="12">
        <v>9.0501521327625359E-2</v>
      </c>
      <c r="H33" s="12">
        <v>0.36655542537308738</v>
      </c>
      <c r="I33" s="12">
        <v>7.0735294117647063E-2</v>
      </c>
      <c r="J33" s="12">
        <v>8.9378645078038096E-2</v>
      </c>
      <c r="K33" s="12">
        <v>186.43350960391041</v>
      </c>
      <c r="L33" s="12">
        <v>0.1017397033392058</v>
      </c>
      <c r="M33" s="16">
        <v>0.55895180717476955</v>
      </c>
    </row>
    <row r="34" spans="1:13" x14ac:dyDescent="0.35">
      <c r="A34" s="10">
        <v>33</v>
      </c>
      <c r="B34" s="10" t="s">
        <v>147</v>
      </c>
      <c r="C34" s="10" t="s">
        <v>148</v>
      </c>
      <c r="D34" s="15" t="s">
        <v>149</v>
      </c>
      <c r="E34" s="13">
        <v>292029</v>
      </c>
      <c r="F34" s="12">
        <v>4.9224756955260088E-2</v>
      </c>
      <c r="G34" s="12">
        <v>9.1084911173691233E-2</v>
      </c>
      <c r="H34" s="12">
        <v>0.4106943936347856</v>
      </c>
      <c r="I34" s="12">
        <v>7.1190476190476193E-2</v>
      </c>
      <c r="J34" s="12">
        <v>6.8967878685698508E-2</v>
      </c>
      <c r="K34" s="12">
        <v>-22.225975047776849</v>
      </c>
      <c r="L34" s="12">
        <v>2.7160615469388191E-2</v>
      </c>
      <c r="M34" s="16">
        <v>0.55854264802614972</v>
      </c>
    </row>
    <row r="35" spans="1:13" ht="29" x14ac:dyDescent="0.35">
      <c r="A35" s="10">
        <v>34</v>
      </c>
      <c r="B35" s="10" t="s">
        <v>129</v>
      </c>
      <c r="C35" s="10" t="s">
        <v>150</v>
      </c>
      <c r="D35" s="15" t="s">
        <v>151</v>
      </c>
      <c r="E35" s="13">
        <v>246025</v>
      </c>
      <c r="F35" s="12">
        <v>2.7920238218960822E-2</v>
      </c>
      <c r="G35" s="12">
        <v>2.2307326108283239E-2</v>
      </c>
      <c r="H35" s="12">
        <v>0.37070984225915349</v>
      </c>
      <c r="I35" s="12">
        <v>6.9223163841807905E-2</v>
      </c>
      <c r="J35" s="12">
        <v>9.9475175494630419E-2</v>
      </c>
      <c r="K35" s="12">
        <v>302.52011652822517</v>
      </c>
      <c r="L35" s="12">
        <v>0.13761333080259661</v>
      </c>
      <c r="M35" s="16">
        <v>0.55602868158078822</v>
      </c>
    </row>
    <row r="36" spans="1:13" x14ac:dyDescent="0.35">
      <c r="A36" s="10">
        <v>35</v>
      </c>
      <c r="B36" s="10" t="s">
        <v>122</v>
      </c>
      <c r="C36" s="10" t="s">
        <v>152</v>
      </c>
      <c r="D36" s="15" t="s">
        <v>153</v>
      </c>
      <c r="E36" s="13">
        <v>200794</v>
      </c>
      <c r="F36" s="12">
        <v>8.8838132175147317E-4</v>
      </c>
      <c r="G36" s="12">
        <v>0</v>
      </c>
      <c r="H36" s="12">
        <v>0.2315034605925807</v>
      </c>
      <c r="I36" s="12">
        <v>6.2592592592592589E-2</v>
      </c>
      <c r="J36" s="12">
        <v>0.15559508441493991</v>
      </c>
      <c r="K36" s="12">
        <v>930.02491822347349</v>
      </c>
      <c r="L36" s="12">
        <v>0.31500491275545911</v>
      </c>
      <c r="M36" s="16">
        <v>0.55556234302053886</v>
      </c>
    </row>
    <row r="37" spans="1:13" x14ac:dyDescent="0.35">
      <c r="A37" s="10">
        <v>36</v>
      </c>
      <c r="B37" s="10" t="s">
        <v>99</v>
      </c>
      <c r="C37" s="10" t="s">
        <v>87</v>
      </c>
      <c r="D37" s="15" t="s">
        <v>154</v>
      </c>
      <c r="E37" s="13">
        <v>526597</v>
      </c>
      <c r="F37" s="12">
        <v>1.496282456864273E-3</v>
      </c>
      <c r="G37" s="12">
        <v>3.3449241065335637E-2</v>
      </c>
      <c r="H37" s="12">
        <v>0.33279964213093272</v>
      </c>
      <c r="I37" s="12">
        <v>6.0517241379310353E-2</v>
      </c>
      <c r="J37" s="12">
        <v>9.9459873348910419E-2</v>
      </c>
      <c r="K37" s="12">
        <v>389.42631969600069</v>
      </c>
      <c r="L37" s="12">
        <v>0.17349016375773421</v>
      </c>
      <c r="M37" s="16">
        <v>0.55491670013781591</v>
      </c>
    </row>
    <row r="38" spans="1:13" ht="29" x14ac:dyDescent="0.35">
      <c r="A38" s="10">
        <v>37</v>
      </c>
      <c r="B38" s="10" t="s">
        <v>101</v>
      </c>
      <c r="C38" s="10" t="s">
        <v>155</v>
      </c>
      <c r="D38" s="15" t="s">
        <v>156</v>
      </c>
      <c r="E38" s="13">
        <v>234954</v>
      </c>
      <c r="F38" s="12">
        <v>8.2468311856180015E-3</v>
      </c>
      <c r="G38" s="12">
        <v>3.672731038203815E-2</v>
      </c>
      <c r="H38" s="12">
        <v>0.28888521471977058</v>
      </c>
      <c r="I38" s="12">
        <v>6.3750000000000001E-2</v>
      </c>
      <c r="J38" s="12">
        <v>0.13075573047137731</v>
      </c>
      <c r="K38" s="12">
        <v>670.05730471377342</v>
      </c>
      <c r="L38" s="12">
        <v>0.24817480351544011</v>
      </c>
      <c r="M38" s="16">
        <v>0.55371398188238063</v>
      </c>
    </row>
    <row r="39" spans="1:13" x14ac:dyDescent="0.35">
      <c r="A39" s="10">
        <v>38</v>
      </c>
      <c r="B39" s="10" t="s">
        <v>157</v>
      </c>
      <c r="C39" s="10" t="s">
        <v>158</v>
      </c>
      <c r="D39" s="15" t="s">
        <v>159</v>
      </c>
      <c r="E39" s="13">
        <v>1771063</v>
      </c>
      <c r="F39" s="12">
        <v>-2.5971486124420629E-3</v>
      </c>
      <c r="G39" s="12">
        <v>7.3844613166584638E-2</v>
      </c>
      <c r="H39" s="12">
        <v>0.30541590330655782</v>
      </c>
      <c r="I39" s="12">
        <v>6.5328282828282833E-2</v>
      </c>
      <c r="J39" s="12">
        <v>0.1133200872644072</v>
      </c>
      <c r="K39" s="12">
        <v>479.91804436124409</v>
      </c>
      <c r="L39" s="12">
        <v>0.19547631043154801</v>
      </c>
      <c r="M39" s="16">
        <v>0.55366010449462477</v>
      </c>
    </row>
    <row r="40" spans="1:13" x14ac:dyDescent="0.35">
      <c r="A40" s="10">
        <v>39</v>
      </c>
      <c r="B40" s="10" t="s">
        <v>147</v>
      </c>
      <c r="C40" s="10" t="s">
        <v>160</v>
      </c>
      <c r="D40" s="15" t="s">
        <v>161</v>
      </c>
      <c r="E40" s="13">
        <v>249624</v>
      </c>
      <c r="F40" s="12">
        <v>1.6106645630343471E-2</v>
      </c>
      <c r="G40" s="12">
        <v>0.11713612835527409</v>
      </c>
      <c r="H40" s="12">
        <v>0.3131176332754026</v>
      </c>
      <c r="I40" s="12">
        <v>7.1075667655786351E-2</v>
      </c>
      <c r="J40" s="12">
        <v>0.1289047167013419</v>
      </c>
      <c r="K40" s="12">
        <v>578.2904904555553</v>
      </c>
      <c r="L40" s="12">
        <v>0.21328496904876729</v>
      </c>
      <c r="M40" s="16">
        <v>0.55305117325588471</v>
      </c>
    </row>
    <row r="41" spans="1:13" x14ac:dyDescent="0.35">
      <c r="A41" s="10">
        <v>40</v>
      </c>
      <c r="B41" s="10" t="s">
        <v>147</v>
      </c>
      <c r="C41" s="10" t="s">
        <v>148</v>
      </c>
      <c r="D41" s="15" t="s">
        <v>162</v>
      </c>
      <c r="E41" s="13">
        <v>1363767</v>
      </c>
      <c r="F41" s="12">
        <v>1.294857358804884E-2</v>
      </c>
      <c r="G41" s="12">
        <v>7.61698383720366E-2</v>
      </c>
      <c r="H41" s="12">
        <v>0.35562473140674072</v>
      </c>
      <c r="I41" s="12">
        <v>7.1190476190476193E-2</v>
      </c>
      <c r="J41" s="12">
        <v>9.6567025684399649E-2</v>
      </c>
      <c r="K41" s="12">
        <v>253.76549493923449</v>
      </c>
      <c r="L41" s="12">
        <v>0.12307546122182229</v>
      </c>
      <c r="M41" s="16">
        <v>0.55296148972003045</v>
      </c>
    </row>
    <row r="42" spans="1:13" x14ac:dyDescent="0.35">
      <c r="A42" s="10">
        <v>41</v>
      </c>
      <c r="B42" s="10" t="s">
        <v>101</v>
      </c>
      <c r="C42" s="10" t="s">
        <v>163</v>
      </c>
      <c r="D42" s="15" t="s">
        <v>164</v>
      </c>
      <c r="E42" s="13">
        <v>281420</v>
      </c>
      <c r="F42" s="12">
        <v>5.0646770497984276E-3</v>
      </c>
      <c r="G42" s="12">
        <v>2.1238480690861729E-2</v>
      </c>
      <c r="H42" s="12">
        <v>0.29868537521347949</v>
      </c>
      <c r="I42" s="12">
        <v>6.2873831775700939E-2</v>
      </c>
      <c r="J42" s="12">
        <v>0.1139997856197487</v>
      </c>
      <c r="K42" s="12">
        <v>511.25953844047791</v>
      </c>
      <c r="L42" s="12">
        <v>0.2075525523973418</v>
      </c>
      <c r="M42" s="16">
        <v>0.55190478338026749</v>
      </c>
    </row>
    <row r="43" spans="1:13" x14ac:dyDescent="0.35">
      <c r="A43" s="10">
        <v>42</v>
      </c>
      <c r="B43" s="10" t="s">
        <v>165</v>
      </c>
      <c r="C43" s="10" t="s">
        <v>166</v>
      </c>
      <c r="D43" s="15" t="s">
        <v>167</v>
      </c>
      <c r="E43" s="13">
        <v>241212</v>
      </c>
      <c r="F43" s="12">
        <v>9.199401678909612E-3</v>
      </c>
      <c r="G43" s="12">
        <v>3.5486895253118537E-2</v>
      </c>
      <c r="H43" s="12">
        <v>0.33213052515058311</v>
      </c>
      <c r="I43" s="12">
        <v>7.0437743190661484E-2</v>
      </c>
      <c r="J43" s="12">
        <v>0.12870532788996791</v>
      </c>
      <c r="K43" s="12">
        <v>582.67584699306371</v>
      </c>
      <c r="L43" s="12">
        <v>0.21383899893934721</v>
      </c>
      <c r="M43" s="16">
        <v>0.55053634879177493</v>
      </c>
    </row>
    <row r="44" spans="1:13" x14ac:dyDescent="0.35">
      <c r="A44" s="10">
        <v>43</v>
      </c>
      <c r="B44" s="10" t="s">
        <v>168</v>
      </c>
      <c r="C44" s="10" t="s">
        <v>169</v>
      </c>
      <c r="D44" s="15" t="s">
        <v>170</v>
      </c>
      <c r="E44" s="13">
        <v>329437</v>
      </c>
      <c r="F44" s="12">
        <v>5.276200453773386E-3</v>
      </c>
      <c r="G44" s="12">
        <v>5.6158630867496158E-3</v>
      </c>
      <c r="H44" s="12">
        <v>0.36709458160660291</v>
      </c>
      <c r="I44" s="12">
        <v>6.9431818181818178E-2</v>
      </c>
      <c r="J44" s="12">
        <v>9.0475921061014458E-2</v>
      </c>
      <c r="K44" s="12">
        <v>210.44102879196279</v>
      </c>
      <c r="L44" s="12">
        <v>0.10977827038237289</v>
      </c>
      <c r="M44" s="16">
        <v>0.5478306281714862</v>
      </c>
    </row>
    <row r="45" spans="1:13" x14ac:dyDescent="0.35">
      <c r="A45" s="10">
        <v>44</v>
      </c>
      <c r="B45" s="10" t="s">
        <v>89</v>
      </c>
      <c r="C45" s="10" t="s">
        <v>90</v>
      </c>
      <c r="D45" s="15" t="s">
        <v>171</v>
      </c>
      <c r="E45" s="13">
        <v>299317</v>
      </c>
      <c r="F45" s="12">
        <v>2.431384193528284E-2</v>
      </c>
      <c r="G45" s="12">
        <v>0.25178181667046567</v>
      </c>
      <c r="H45" s="12">
        <v>0.3280591123767973</v>
      </c>
      <c r="I45" s="12">
        <v>6.7446236559139783E-2</v>
      </c>
      <c r="J45" s="12">
        <v>9.2942776287511991E-2</v>
      </c>
      <c r="K45" s="12">
        <v>254.9653972837221</v>
      </c>
      <c r="L45" s="12">
        <v>0.12662869799357471</v>
      </c>
      <c r="M45" s="16">
        <v>0.54758337096528142</v>
      </c>
    </row>
    <row r="46" spans="1:13" x14ac:dyDescent="0.35">
      <c r="A46" s="10">
        <v>45</v>
      </c>
      <c r="B46" s="10" t="s">
        <v>172</v>
      </c>
      <c r="C46" s="10" t="s">
        <v>173</v>
      </c>
      <c r="D46" s="15" t="s">
        <v>174</v>
      </c>
      <c r="E46" s="13">
        <v>379704</v>
      </c>
      <c r="F46" s="12">
        <v>2.197011153737061E-2</v>
      </c>
      <c r="G46" s="12">
        <v>4.217467089447699E-2</v>
      </c>
      <c r="H46" s="12">
        <v>0.38725649495365622</v>
      </c>
      <c r="I46" s="12">
        <v>6.9016853932584277E-2</v>
      </c>
      <c r="J46" s="12">
        <v>7.424424260747467E-2</v>
      </c>
      <c r="K46" s="12">
        <v>52.273886748903927</v>
      </c>
      <c r="L46" s="12">
        <v>5.5117693348980978E-2</v>
      </c>
      <c r="M46" s="16">
        <v>0.54625418467686759</v>
      </c>
    </row>
    <row r="47" spans="1:13" x14ac:dyDescent="0.35">
      <c r="A47" s="10">
        <v>46</v>
      </c>
      <c r="B47" s="10" t="s">
        <v>96</v>
      </c>
      <c r="C47" s="10" t="s">
        <v>175</v>
      </c>
      <c r="D47" s="15" t="s">
        <v>176</v>
      </c>
      <c r="E47" s="13">
        <v>338696</v>
      </c>
      <c r="F47" s="12">
        <v>2.8042419664476219E-3</v>
      </c>
      <c r="G47" s="12">
        <v>7.6284095835240498E-2</v>
      </c>
      <c r="H47" s="12">
        <v>0.30876403896990762</v>
      </c>
      <c r="I47" s="12">
        <v>6.9016853932584277E-2</v>
      </c>
      <c r="J47" s="12">
        <v>0.1210167473067552</v>
      </c>
      <c r="K47" s="12">
        <v>519.99893374170961</v>
      </c>
      <c r="L47" s="12">
        <v>0.2013336275671922</v>
      </c>
      <c r="M47" s="16">
        <v>0.54426489421473201</v>
      </c>
    </row>
    <row r="48" spans="1:13" x14ac:dyDescent="0.35">
      <c r="A48" s="10">
        <v>47</v>
      </c>
      <c r="B48" s="10" t="s">
        <v>177</v>
      </c>
      <c r="C48" s="10" t="s">
        <v>178</v>
      </c>
      <c r="D48" s="15" t="s">
        <v>179</v>
      </c>
      <c r="E48" s="13">
        <v>425857</v>
      </c>
      <c r="F48" s="12">
        <v>1.9792337259060102E-3</v>
      </c>
      <c r="G48" s="12">
        <v>2.56781236858569E-2</v>
      </c>
      <c r="H48" s="12">
        <v>0.31616134352814568</v>
      </c>
      <c r="I48" s="12">
        <v>6.4053398058252428E-2</v>
      </c>
      <c r="J48" s="12">
        <v>9.0358612355157381E-2</v>
      </c>
      <c r="K48" s="12">
        <v>263.0521429690495</v>
      </c>
      <c r="L48" s="12">
        <v>0.13160288796308059</v>
      </c>
      <c r="M48" s="16">
        <v>0.54400601647508584</v>
      </c>
    </row>
    <row r="49" spans="1:13" x14ac:dyDescent="0.35">
      <c r="A49" s="10">
        <v>48</v>
      </c>
      <c r="B49" s="10" t="s">
        <v>180</v>
      </c>
      <c r="C49" s="10" t="s">
        <v>181</v>
      </c>
      <c r="D49" s="15" t="s">
        <v>182</v>
      </c>
      <c r="E49" s="13">
        <v>588347</v>
      </c>
      <c r="F49" s="12">
        <v>1.1431783441754649E-2</v>
      </c>
      <c r="G49" s="12">
        <v>8.1732955319785014E-2</v>
      </c>
      <c r="H49" s="12">
        <v>0.3304790589936481</v>
      </c>
      <c r="I49" s="12">
        <v>6.4362745098039215E-2</v>
      </c>
      <c r="J49" s="12">
        <v>8.4772745196294116E-2</v>
      </c>
      <c r="K49" s="12">
        <v>204.10000098254901</v>
      </c>
      <c r="L49" s="12">
        <v>0.1113041304847997</v>
      </c>
      <c r="M49" s="16">
        <v>0.54312699792516461</v>
      </c>
    </row>
    <row r="50" spans="1:13" ht="29" x14ac:dyDescent="0.35">
      <c r="A50" s="10">
        <v>49</v>
      </c>
      <c r="B50" s="10" t="s">
        <v>183</v>
      </c>
      <c r="C50" s="10" t="s">
        <v>184</v>
      </c>
      <c r="D50" s="15" t="s">
        <v>185</v>
      </c>
      <c r="E50" s="13">
        <v>675912</v>
      </c>
      <c r="F50" s="12">
        <v>6.0102053802473772E-3</v>
      </c>
      <c r="G50" s="12">
        <v>0.25388203738702753</v>
      </c>
      <c r="H50" s="12">
        <v>0.28887257420204893</v>
      </c>
      <c r="I50" s="12">
        <v>6.316037735849056E-2</v>
      </c>
      <c r="J50" s="12">
        <v>9.505967430156094E-2</v>
      </c>
      <c r="K50" s="12">
        <v>318.99296943070379</v>
      </c>
      <c r="L50" s="12">
        <v>0.15147334729330561</v>
      </c>
      <c r="M50" s="16">
        <v>0.54277291186221222</v>
      </c>
    </row>
    <row r="51" spans="1:13" x14ac:dyDescent="0.35">
      <c r="A51" s="10">
        <v>50</v>
      </c>
      <c r="B51" s="10" t="s">
        <v>177</v>
      </c>
      <c r="C51" s="10" t="s">
        <v>178</v>
      </c>
      <c r="D51" s="15" t="s">
        <v>186</v>
      </c>
      <c r="E51" s="13">
        <v>611272</v>
      </c>
      <c r="F51" s="12">
        <v>4.2538412265304597E-3</v>
      </c>
      <c r="G51" s="12">
        <v>7.7554792168727127E-2</v>
      </c>
      <c r="H51" s="12">
        <v>0.33020718787160552</v>
      </c>
      <c r="I51" s="12">
        <v>6.4053398058252428E-2</v>
      </c>
      <c r="J51" s="12">
        <v>7.9157464989981483E-2</v>
      </c>
      <c r="K51" s="12">
        <v>151.04066931729051</v>
      </c>
      <c r="L51" s="12">
        <v>9.3019473693830346E-2</v>
      </c>
      <c r="M51" s="16">
        <v>0.54277186713251058</v>
      </c>
    </row>
    <row r="52" spans="1:13" x14ac:dyDescent="0.35">
      <c r="A52" s="10">
        <v>51</v>
      </c>
      <c r="B52" s="10" t="s">
        <v>187</v>
      </c>
      <c r="C52" s="10" t="s">
        <v>188</v>
      </c>
      <c r="D52" s="15" t="s">
        <v>189</v>
      </c>
      <c r="E52" s="13">
        <v>331379</v>
      </c>
      <c r="F52" s="12">
        <v>4.7329208971102817E-3</v>
      </c>
      <c r="G52" s="12">
        <v>0</v>
      </c>
      <c r="H52" s="12">
        <v>0.36665634326054758</v>
      </c>
      <c r="I52" s="12">
        <v>6.5663265306122459E-2</v>
      </c>
      <c r="J52" s="12">
        <v>9.5827720722634652E-2</v>
      </c>
      <c r="K52" s="12">
        <v>301.64455416512192</v>
      </c>
      <c r="L52" s="12">
        <v>0.13998261462597819</v>
      </c>
      <c r="M52" s="16">
        <v>0.54069271296000387</v>
      </c>
    </row>
    <row r="53" spans="1:13" x14ac:dyDescent="0.35">
      <c r="A53" s="10">
        <v>52</v>
      </c>
      <c r="B53" s="10" t="s">
        <v>136</v>
      </c>
      <c r="C53" s="10" t="s">
        <v>190</v>
      </c>
      <c r="D53" s="15" t="s">
        <v>191</v>
      </c>
      <c r="E53" s="13">
        <v>852878</v>
      </c>
      <c r="F53" s="12">
        <v>4.2009904420696853E-2</v>
      </c>
      <c r="G53" s="12">
        <v>0.1088195696679975</v>
      </c>
      <c r="H53" s="12">
        <v>0.38809454848981872</v>
      </c>
      <c r="I53" s="12">
        <v>7.3124999999999996E-2</v>
      </c>
      <c r="J53" s="12">
        <v>8.0139274973472632E-2</v>
      </c>
      <c r="K53" s="12">
        <v>70.142749734726365</v>
      </c>
      <c r="L53" s="12">
        <v>6.2346042723413493E-2</v>
      </c>
      <c r="M53" s="16">
        <v>0.5398240571093752</v>
      </c>
    </row>
    <row r="54" spans="1:13" ht="29" x14ac:dyDescent="0.35">
      <c r="A54" s="10">
        <v>53</v>
      </c>
      <c r="B54" s="10" t="s">
        <v>187</v>
      </c>
      <c r="C54" s="10" t="s">
        <v>192</v>
      </c>
      <c r="D54" s="15" t="s">
        <v>193</v>
      </c>
      <c r="E54" s="13">
        <v>322989</v>
      </c>
      <c r="F54" s="12">
        <v>8.1351299510885201E-3</v>
      </c>
      <c r="G54" s="12">
        <v>0.16612264803946891</v>
      </c>
      <c r="H54" s="12">
        <v>0.28909715224876381</v>
      </c>
      <c r="I54" s="12">
        <v>6.4362745098039215E-2</v>
      </c>
      <c r="J54" s="12">
        <v>0.13317533678353741</v>
      </c>
      <c r="K54" s="12">
        <v>688.12591685498137</v>
      </c>
      <c r="L54" s="12">
        <v>0.25159108258235091</v>
      </c>
      <c r="M54" s="16">
        <v>0.53974414827451855</v>
      </c>
    </row>
    <row r="55" spans="1:13" x14ac:dyDescent="0.35">
      <c r="A55" s="10">
        <v>54</v>
      </c>
      <c r="B55" s="10" t="s">
        <v>194</v>
      </c>
      <c r="C55" s="10" t="s">
        <v>195</v>
      </c>
      <c r="D55" s="15" t="s">
        <v>196</v>
      </c>
      <c r="E55" s="13">
        <v>212374</v>
      </c>
      <c r="F55" s="12">
        <v>7.4205341039117198E-3</v>
      </c>
      <c r="G55" s="12">
        <v>3.1305740429597932E-2</v>
      </c>
      <c r="H55" s="12">
        <v>0.33390202166012162</v>
      </c>
      <c r="I55" s="12">
        <v>6.0760869565217403E-2</v>
      </c>
      <c r="J55" s="12">
        <v>9.992456543956435E-2</v>
      </c>
      <c r="K55" s="12">
        <v>391.63695874346962</v>
      </c>
      <c r="L55" s="12">
        <v>0.174066520013094</v>
      </c>
      <c r="M55" s="16">
        <v>0.53966093581693442</v>
      </c>
    </row>
    <row r="56" spans="1:13" x14ac:dyDescent="0.35">
      <c r="A56" s="10">
        <v>55</v>
      </c>
      <c r="B56" s="10" t="s">
        <v>122</v>
      </c>
      <c r="C56" s="10" t="s">
        <v>123</v>
      </c>
      <c r="D56" s="15" t="s">
        <v>197</v>
      </c>
      <c r="E56" s="13">
        <v>542015</v>
      </c>
      <c r="F56" s="12">
        <v>-4.40606881152139E-3</v>
      </c>
      <c r="G56" s="12">
        <v>1.363576461510768E-2</v>
      </c>
      <c r="H56" s="12">
        <v>0.32796582599685092</v>
      </c>
      <c r="I56" s="12">
        <v>6.2592592592592589E-2</v>
      </c>
      <c r="J56" s="12">
        <v>7.4137755734618727E-2</v>
      </c>
      <c r="K56" s="12">
        <v>115.45163142026141</v>
      </c>
      <c r="L56" s="12">
        <v>8.0233117801356002E-2</v>
      </c>
      <c r="M56" s="16">
        <v>0.53909364357522982</v>
      </c>
    </row>
    <row r="57" spans="1:13" x14ac:dyDescent="0.35">
      <c r="A57" s="10">
        <v>56</v>
      </c>
      <c r="B57" s="10" t="s">
        <v>136</v>
      </c>
      <c r="C57" s="10" t="s">
        <v>198</v>
      </c>
      <c r="D57" s="15" t="s">
        <v>199</v>
      </c>
      <c r="E57" s="13">
        <v>334928</v>
      </c>
      <c r="F57" s="12">
        <v>5.2167048591689073E-2</v>
      </c>
      <c r="G57" s="12">
        <v>0.30667541005632309</v>
      </c>
      <c r="H57" s="12">
        <v>0.3277382527422904</v>
      </c>
      <c r="I57" s="12">
        <v>7.0735294117647063E-2</v>
      </c>
      <c r="J57" s="12">
        <v>0.1126184871106819</v>
      </c>
      <c r="K57" s="12">
        <v>418.83192993034828</v>
      </c>
      <c r="L57" s="12">
        <v>0.171741390984852</v>
      </c>
      <c r="M57" s="16">
        <v>0.53849924256451254</v>
      </c>
    </row>
    <row r="58" spans="1:13" x14ac:dyDescent="0.35">
      <c r="A58" s="10">
        <v>57</v>
      </c>
      <c r="B58" s="10" t="s">
        <v>177</v>
      </c>
      <c r="C58" s="10" t="s">
        <v>200</v>
      </c>
      <c r="D58" s="15" t="s">
        <v>201</v>
      </c>
      <c r="E58" s="13">
        <v>352867</v>
      </c>
      <c r="F58" s="12">
        <v>4.7371536651217858E-3</v>
      </c>
      <c r="G58" s="12">
        <v>5.3322622574283468E-2</v>
      </c>
      <c r="H58" s="12">
        <v>0.30243574684142271</v>
      </c>
      <c r="I58" s="12">
        <v>6.4053398058252428E-2</v>
      </c>
      <c r="J58" s="12">
        <v>0.1014190102772731</v>
      </c>
      <c r="K58" s="12">
        <v>373.65612219020659</v>
      </c>
      <c r="L58" s="12">
        <v>0.1665800041544967</v>
      </c>
      <c r="M58" s="16">
        <v>0.53844017104820385</v>
      </c>
    </row>
    <row r="59" spans="1:13" x14ac:dyDescent="0.35">
      <c r="A59" s="10">
        <v>58</v>
      </c>
      <c r="B59" s="10" t="s">
        <v>86</v>
      </c>
      <c r="C59" s="10" t="s">
        <v>202</v>
      </c>
      <c r="D59" s="15" t="s">
        <v>203</v>
      </c>
      <c r="E59" s="13">
        <v>752202</v>
      </c>
      <c r="F59" s="12">
        <v>-1.829436474179377E-3</v>
      </c>
      <c r="G59" s="12">
        <v>6.9049150718931113E-2</v>
      </c>
      <c r="H59" s="12">
        <v>0.31489248332745462</v>
      </c>
      <c r="I59" s="12">
        <v>6.467821782178218E-2</v>
      </c>
      <c r="J59" s="12">
        <v>0.11413163639739871</v>
      </c>
      <c r="K59" s="12">
        <v>494.53418575616507</v>
      </c>
      <c r="L59" s="12">
        <v>0.1996485079523842</v>
      </c>
      <c r="M59" s="16">
        <v>0.53666845058496693</v>
      </c>
    </row>
    <row r="60" spans="1:13" x14ac:dyDescent="0.35">
      <c r="A60" s="10">
        <v>59</v>
      </c>
      <c r="B60" s="10" t="s">
        <v>136</v>
      </c>
      <c r="C60" s="10" t="s">
        <v>204</v>
      </c>
      <c r="D60" s="15" t="s">
        <v>205</v>
      </c>
      <c r="E60" s="13">
        <v>444204</v>
      </c>
      <c r="F60" s="12">
        <v>3.7519612259798357E-2</v>
      </c>
      <c r="G60" s="12">
        <v>0.19693678564223879</v>
      </c>
      <c r="H60" s="12">
        <v>0.35051378705209257</v>
      </c>
      <c r="I60" s="12">
        <v>7.0735294117647063E-2</v>
      </c>
      <c r="J60" s="12">
        <v>0.10580772672662429</v>
      </c>
      <c r="K60" s="12">
        <v>350.72432608977198</v>
      </c>
      <c r="L60" s="12">
        <v>0.1516495931640203</v>
      </c>
      <c r="M60" s="16">
        <v>0.5362420297666467</v>
      </c>
    </row>
    <row r="61" spans="1:13" ht="29" x14ac:dyDescent="0.35">
      <c r="A61" s="10">
        <v>60</v>
      </c>
      <c r="B61" s="10" t="s">
        <v>206</v>
      </c>
      <c r="C61" s="10" t="s">
        <v>207</v>
      </c>
      <c r="D61" s="15" t="s">
        <v>208</v>
      </c>
      <c r="E61" s="13">
        <v>282602</v>
      </c>
      <c r="F61" s="12">
        <v>3.79249153132959E-3</v>
      </c>
      <c r="G61" s="12">
        <v>4.2598927275921579E-2</v>
      </c>
      <c r="H61" s="12">
        <v>0.32094268629793782</v>
      </c>
      <c r="I61" s="12">
        <v>6.2592592592592589E-2</v>
      </c>
      <c r="J61" s="12">
        <v>0.1175417664722951</v>
      </c>
      <c r="K61" s="12">
        <v>549.49173879702471</v>
      </c>
      <c r="L61" s="12">
        <v>0.2171140314835647</v>
      </c>
      <c r="M61" s="16">
        <v>0.53599221137937136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47"/>
  <sheetViews>
    <sheetView workbookViewId="0"/>
  </sheetViews>
  <sheetFormatPr defaultRowHeight="14.5" x14ac:dyDescent="0.35"/>
  <cols>
    <col min="1" max="1" width="34" customWidth="1"/>
  </cols>
  <sheetData>
    <row r="1" spans="1:6" x14ac:dyDescent="0.35">
      <c r="A1" s="17" t="s">
        <v>209</v>
      </c>
      <c r="B1" s="17" t="s">
        <v>78</v>
      </c>
      <c r="C1" s="17" t="s">
        <v>210</v>
      </c>
      <c r="D1" s="17" t="s">
        <v>211</v>
      </c>
      <c r="E1" s="17" t="s">
        <v>74</v>
      </c>
      <c r="F1" s="17" t="s">
        <v>72</v>
      </c>
    </row>
    <row r="2" spans="1:6" x14ac:dyDescent="0.35">
      <c r="A2" t="s">
        <v>88</v>
      </c>
      <c r="B2">
        <v>498212</v>
      </c>
      <c r="C2">
        <v>1.5647942994831479E-3</v>
      </c>
      <c r="D2">
        <v>2.268289516625149E-2</v>
      </c>
      <c r="E2">
        <v>1</v>
      </c>
      <c r="F2">
        <v>0.70466161559895413</v>
      </c>
    </row>
    <row r="3" spans="1:6" x14ac:dyDescent="0.35">
      <c r="A3" t="s">
        <v>91</v>
      </c>
      <c r="B3">
        <v>1082273</v>
      </c>
      <c r="C3">
        <v>5.0471034711591393E-3</v>
      </c>
      <c r="D3">
        <v>0.1015749049357477</v>
      </c>
      <c r="E3">
        <v>2</v>
      </c>
      <c r="F3">
        <v>0.65115600970431498</v>
      </c>
    </row>
    <row r="4" spans="1:6" x14ac:dyDescent="0.35">
      <c r="A4" t="s">
        <v>94</v>
      </c>
      <c r="B4">
        <v>793144</v>
      </c>
      <c r="C4">
        <v>-1.2841193167920789E-3</v>
      </c>
      <c r="D4">
        <v>0.15546152830592949</v>
      </c>
      <c r="E4">
        <v>3</v>
      </c>
      <c r="F4">
        <v>0.64384611029313032</v>
      </c>
    </row>
    <row r="5" spans="1:6" x14ac:dyDescent="0.35">
      <c r="A5" t="s">
        <v>95</v>
      </c>
      <c r="B5">
        <v>702250</v>
      </c>
      <c r="C5">
        <v>1.1675438243478701E-2</v>
      </c>
      <c r="D5">
        <v>9.1874011413989792E-2</v>
      </c>
      <c r="E5">
        <v>4</v>
      </c>
      <c r="F5">
        <v>0.64269911392656054</v>
      </c>
    </row>
    <row r="6" spans="1:6" x14ac:dyDescent="0.35">
      <c r="A6" t="s">
        <v>97</v>
      </c>
      <c r="B6">
        <v>239807</v>
      </c>
      <c r="C6">
        <v>1.0237450225893841E-3</v>
      </c>
      <c r="D6">
        <v>0.1017281794254757</v>
      </c>
      <c r="E6">
        <v>5</v>
      </c>
      <c r="F6">
        <v>0.61096061344176755</v>
      </c>
    </row>
    <row r="7" spans="1:6" x14ac:dyDescent="0.35">
      <c r="A7" t="s">
        <v>98</v>
      </c>
      <c r="B7">
        <v>1668956</v>
      </c>
      <c r="C7">
        <v>6.3557629803302823E-3</v>
      </c>
      <c r="D7">
        <v>6.888672077566331E-2</v>
      </c>
      <c r="E7">
        <v>6</v>
      </c>
      <c r="F7">
        <v>0.60889696065106624</v>
      </c>
    </row>
    <row r="8" spans="1:6" x14ac:dyDescent="0.35">
      <c r="A8" t="s">
        <v>100</v>
      </c>
      <c r="B8">
        <v>881527</v>
      </c>
      <c r="C8">
        <v>6.2518894909420709E-3</v>
      </c>
      <c r="D8">
        <v>0.12459085827824749</v>
      </c>
      <c r="E8">
        <v>7</v>
      </c>
      <c r="F8">
        <v>0.60386406492421074</v>
      </c>
    </row>
    <row r="9" spans="1:6" x14ac:dyDescent="0.35">
      <c r="A9" t="s">
        <v>103</v>
      </c>
      <c r="B9">
        <v>2340211</v>
      </c>
      <c r="C9">
        <v>7.2396540724400686E-3</v>
      </c>
      <c r="D9">
        <v>5.81622445878884E-2</v>
      </c>
      <c r="E9">
        <v>8</v>
      </c>
      <c r="F9">
        <v>0.60206853302860996</v>
      </c>
    </row>
    <row r="10" spans="1:6" x14ac:dyDescent="0.35">
      <c r="A10" t="s">
        <v>104</v>
      </c>
      <c r="B10">
        <v>864113</v>
      </c>
      <c r="C10">
        <v>1.028283984457363E-2</v>
      </c>
      <c r="D10">
        <v>3.0198934202769138E-2</v>
      </c>
      <c r="E10">
        <v>9</v>
      </c>
      <c r="F10">
        <v>0.59298609651492962</v>
      </c>
    </row>
    <row r="11" spans="1:6" x14ac:dyDescent="0.35">
      <c r="A11" t="s">
        <v>105</v>
      </c>
      <c r="B11">
        <v>1160925</v>
      </c>
      <c r="C11">
        <v>2.6650154960476372E-3</v>
      </c>
      <c r="D11">
        <v>8.4030308168162871E-2</v>
      </c>
      <c r="E11">
        <v>10</v>
      </c>
      <c r="F11">
        <v>0.59276254325064281</v>
      </c>
    </row>
    <row r="12" spans="1:6" x14ac:dyDescent="0.35">
      <c r="A12" t="s">
        <v>107</v>
      </c>
      <c r="B12">
        <v>232570</v>
      </c>
      <c r="C12">
        <v>4.9438744190125408E-3</v>
      </c>
      <c r="D12">
        <v>2.4284650545723721E-2</v>
      </c>
      <c r="E12">
        <v>11</v>
      </c>
      <c r="F12">
        <v>0.59042499849478758</v>
      </c>
    </row>
    <row r="13" spans="1:6" x14ac:dyDescent="0.35">
      <c r="A13" t="s">
        <v>110</v>
      </c>
      <c r="B13">
        <v>513862</v>
      </c>
      <c r="C13">
        <v>4.8609061092993469E-2</v>
      </c>
      <c r="D13">
        <v>0.19485752115652011</v>
      </c>
      <c r="E13">
        <v>12</v>
      </c>
      <c r="F13">
        <v>0.58867300501431608</v>
      </c>
    </row>
    <row r="14" spans="1:6" x14ac:dyDescent="0.35">
      <c r="A14" t="s">
        <v>113</v>
      </c>
      <c r="B14">
        <v>542973</v>
      </c>
      <c r="C14">
        <v>1.0785430639153E-2</v>
      </c>
      <c r="D14">
        <v>6.0982638261302523E-3</v>
      </c>
      <c r="E14">
        <v>13</v>
      </c>
      <c r="F14">
        <v>0.5886267543725423</v>
      </c>
    </row>
    <row r="15" spans="1:6" x14ac:dyDescent="0.35">
      <c r="A15" t="s">
        <v>114</v>
      </c>
      <c r="B15">
        <v>1392438</v>
      </c>
      <c r="C15">
        <v>3.3331319790821701E-4</v>
      </c>
      <c r="D15">
        <v>4.2659930277535577E-2</v>
      </c>
      <c r="E15">
        <v>14</v>
      </c>
      <c r="F15">
        <v>0.58778872383117253</v>
      </c>
    </row>
    <row r="16" spans="1:6" x14ac:dyDescent="0.35">
      <c r="A16" t="s">
        <v>115</v>
      </c>
      <c r="B16">
        <v>1006447</v>
      </c>
      <c r="C16">
        <v>1.23765712853561E-3</v>
      </c>
      <c r="D16">
        <v>0.22815066268645259</v>
      </c>
      <c r="E16">
        <v>15</v>
      </c>
      <c r="F16">
        <v>0.58153428238262017</v>
      </c>
    </row>
    <row r="17" spans="1:6" x14ac:dyDescent="0.35">
      <c r="A17" t="s">
        <v>116</v>
      </c>
      <c r="B17">
        <v>393995</v>
      </c>
      <c r="C17">
        <v>2.3359337490668201E-2</v>
      </c>
      <c r="D17">
        <v>3.680884561651971E-2</v>
      </c>
      <c r="E17">
        <v>16</v>
      </c>
      <c r="F17">
        <v>0.58053222357776912</v>
      </c>
    </row>
    <row r="18" spans="1:6" x14ac:dyDescent="0.35">
      <c r="A18" t="s">
        <v>118</v>
      </c>
      <c r="B18">
        <v>339668</v>
      </c>
      <c r="C18">
        <v>5.1431550292800037E-3</v>
      </c>
      <c r="D18">
        <v>0.11972285755016659</v>
      </c>
      <c r="E18">
        <v>17</v>
      </c>
      <c r="F18">
        <v>0.57858660213866908</v>
      </c>
    </row>
    <row r="19" spans="1:6" x14ac:dyDescent="0.35">
      <c r="A19" t="s">
        <v>121</v>
      </c>
      <c r="B19">
        <v>1232444</v>
      </c>
      <c r="C19">
        <v>2.249724505480705E-2</v>
      </c>
      <c r="D19">
        <v>9.4206725743852485E-2</v>
      </c>
      <c r="E19">
        <v>18</v>
      </c>
      <c r="F19">
        <v>0.57737037071721264</v>
      </c>
    </row>
    <row r="20" spans="1:6" x14ac:dyDescent="0.35">
      <c r="A20" t="s">
        <v>124</v>
      </c>
      <c r="B20">
        <v>283960</v>
      </c>
      <c r="C20">
        <v>1.4493293591654251E-2</v>
      </c>
      <c r="D20">
        <v>0</v>
      </c>
      <c r="E20">
        <v>19</v>
      </c>
      <c r="F20">
        <v>0.57597841621949886</v>
      </c>
    </row>
    <row r="21" spans="1:6" x14ac:dyDescent="0.35">
      <c r="A21" t="s">
        <v>125</v>
      </c>
      <c r="B21">
        <v>729019</v>
      </c>
      <c r="C21">
        <v>3.9711128452384267E-3</v>
      </c>
      <c r="D21">
        <v>8.6027838555002095E-2</v>
      </c>
      <c r="E21">
        <v>20</v>
      </c>
      <c r="F21">
        <v>0.57479890473288908</v>
      </c>
    </row>
    <row r="22" spans="1:6" x14ac:dyDescent="0.35">
      <c r="A22" t="s">
        <v>126</v>
      </c>
      <c r="B22">
        <v>736185</v>
      </c>
      <c r="C22">
        <v>4.943836411514471E-3</v>
      </c>
      <c r="D22">
        <v>9.5080424892146798E-2</v>
      </c>
      <c r="E22">
        <v>21</v>
      </c>
      <c r="F22">
        <v>0.57303561648874091</v>
      </c>
    </row>
    <row r="23" spans="1:6" x14ac:dyDescent="0.35">
      <c r="A23" t="s">
        <v>128</v>
      </c>
      <c r="B23">
        <v>263386</v>
      </c>
      <c r="C23">
        <v>2.471754948099196E-2</v>
      </c>
      <c r="D23">
        <v>8.6435248419817798E-2</v>
      </c>
      <c r="E23">
        <v>22</v>
      </c>
      <c r="F23">
        <v>0.57267100195698162</v>
      </c>
    </row>
    <row r="24" spans="1:6" x14ac:dyDescent="0.35">
      <c r="A24" t="s">
        <v>131</v>
      </c>
      <c r="B24">
        <v>269136</v>
      </c>
      <c r="C24">
        <v>1.9550028844304849E-2</v>
      </c>
      <c r="D24">
        <v>9.363192916145506E-2</v>
      </c>
      <c r="E24">
        <v>23</v>
      </c>
      <c r="F24">
        <v>0.57258151987584094</v>
      </c>
    </row>
    <row r="25" spans="1:6" x14ac:dyDescent="0.35">
      <c r="A25" t="s">
        <v>134</v>
      </c>
      <c r="B25">
        <v>313809</v>
      </c>
      <c r="C25">
        <v>8.4015138040750177E-3</v>
      </c>
      <c r="D25">
        <v>6.8401291951535423E-2</v>
      </c>
      <c r="E25">
        <v>24</v>
      </c>
      <c r="F25">
        <v>0.57233577380697442</v>
      </c>
    </row>
    <row r="26" spans="1:6" x14ac:dyDescent="0.35">
      <c r="A26" t="s">
        <v>135</v>
      </c>
      <c r="B26">
        <v>443380</v>
      </c>
      <c r="C26">
        <v>1.221662885624865E-2</v>
      </c>
      <c r="D26">
        <v>5.3431742205756458E-2</v>
      </c>
      <c r="E26">
        <v>25</v>
      </c>
      <c r="F26">
        <v>0.57218445001792173</v>
      </c>
    </row>
    <row r="27" spans="1:6" x14ac:dyDescent="0.35">
      <c r="A27" t="s">
        <v>138</v>
      </c>
      <c r="B27">
        <v>291782</v>
      </c>
      <c r="C27">
        <v>1.0738476935999859E-2</v>
      </c>
      <c r="D27">
        <v>0.19341701600109271</v>
      </c>
      <c r="E27">
        <v>26</v>
      </c>
      <c r="F27">
        <v>0.5697300571785413</v>
      </c>
    </row>
    <row r="28" spans="1:6" x14ac:dyDescent="0.35">
      <c r="A28" t="s">
        <v>141</v>
      </c>
      <c r="B28">
        <v>431001</v>
      </c>
      <c r="C28">
        <v>1.283241210075179E-2</v>
      </c>
      <c r="D28">
        <v>5.5497280709327822E-2</v>
      </c>
      <c r="E28">
        <v>27</v>
      </c>
      <c r="F28">
        <v>0.56490276025708874</v>
      </c>
    </row>
    <row r="29" spans="1:6" x14ac:dyDescent="0.35">
      <c r="A29" t="s">
        <v>142</v>
      </c>
      <c r="B29">
        <v>729505</v>
      </c>
      <c r="C29">
        <v>4.681641402327903E-3</v>
      </c>
      <c r="D29">
        <v>6.6719405018518543E-2</v>
      </c>
      <c r="E29">
        <v>28</v>
      </c>
      <c r="F29">
        <v>0.56368206948463273</v>
      </c>
    </row>
    <row r="30" spans="1:6" x14ac:dyDescent="0.35">
      <c r="A30" t="s">
        <v>143</v>
      </c>
      <c r="B30">
        <v>966629</v>
      </c>
      <c r="C30">
        <v>3.1878044081301191E-4</v>
      </c>
      <c r="D30">
        <v>0.1261261721610786</v>
      </c>
      <c r="E30">
        <v>29</v>
      </c>
      <c r="F30">
        <v>0.56047846245654953</v>
      </c>
    </row>
    <row r="31" spans="1:6" x14ac:dyDescent="0.35">
      <c r="A31" t="s">
        <v>144</v>
      </c>
      <c r="B31">
        <v>249794</v>
      </c>
      <c r="C31">
        <v>3.7217260125284007E-2</v>
      </c>
      <c r="D31">
        <v>5.0142606529565377E-2</v>
      </c>
      <c r="E31">
        <v>30</v>
      </c>
      <c r="F31">
        <v>0.56027060608062329</v>
      </c>
    </row>
    <row r="32" spans="1:6" x14ac:dyDescent="0.35">
      <c r="A32" t="s">
        <v>145</v>
      </c>
      <c r="B32">
        <v>740754</v>
      </c>
      <c r="C32">
        <v>5.8735751295336787E-3</v>
      </c>
      <c r="D32">
        <v>0.113693195247111</v>
      </c>
      <c r="E32">
        <v>31</v>
      </c>
      <c r="F32">
        <v>0.5597331685070025</v>
      </c>
    </row>
    <row r="33" spans="1:6" x14ac:dyDescent="0.35">
      <c r="A33" t="s">
        <v>146</v>
      </c>
      <c r="B33">
        <v>264276</v>
      </c>
      <c r="C33">
        <v>3.5385386250151182E-2</v>
      </c>
      <c r="D33">
        <v>9.0501521327625359E-2</v>
      </c>
      <c r="E33">
        <v>32</v>
      </c>
      <c r="F33">
        <v>0.55895180717476955</v>
      </c>
    </row>
    <row r="34" spans="1:6" x14ac:dyDescent="0.35">
      <c r="A34" t="s">
        <v>149</v>
      </c>
      <c r="B34">
        <v>292029</v>
      </c>
      <c r="C34">
        <v>4.9224756955260088E-2</v>
      </c>
      <c r="D34">
        <v>9.1084911173691233E-2</v>
      </c>
      <c r="E34">
        <v>33</v>
      </c>
      <c r="F34">
        <v>0.55854264802614972</v>
      </c>
    </row>
    <row r="35" spans="1:6" x14ac:dyDescent="0.35">
      <c r="A35" t="s">
        <v>151</v>
      </c>
      <c r="B35">
        <v>246025</v>
      </c>
      <c r="C35">
        <v>2.7920238218960822E-2</v>
      </c>
      <c r="D35">
        <v>2.2307326108283239E-2</v>
      </c>
      <c r="E35">
        <v>34</v>
      </c>
      <c r="F35">
        <v>0.55602868158078822</v>
      </c>
    </row>
    <row r="36" spans="1:6" x14ac:dyDescent="0.35">
      <c r="A36" t="s">
        <v>153</v>
      </c>
      <c r="B36">
        <v>200794</v>
      </c>
      <c r="C36">
        <v>8.8838132175147317E-4</v>
      </c>
      <c r="D36">
        <v>0</v>
      </c>
      <c r="E36">
        <v>35</v>
      </c>
      <c r="F36">
        <v>0.55556234302053886</v>
      </c>
    </row>
    <row r="37" spans="1:6" x14ac:dyDescent="0.35">
      <c r="A37" t="s">
        <v>154</v>
      </c>
      <c r="B37">
        <v>526597</v>
      </c>
      <c r="C37">
        <v>1.496282456864273E-3</v>
      </c>
      <c r="D37">
        <v>3.3449241065335637E-2</v>
      </c>
      <c r="E37">
        <v>36</v>
      </c>
      <c r="F37">
        <v>0.55491670013781591</v>
      </c>
    </row>
    <row r="38" spans="1:6" x14ac:dyDescent="0.35">
      <c r="A38" t="s">
        <v>156</v>
      </c>
      <c r="B38">
        <v>234954</v>
      </c>
      <c r="C38">
        <v>8.2468311856180015E-3</v>
      </c>
      <c r="D38">
        <v>3.672731038203815E-2</v>
      </c>
      <c r="E38">
        <v>37</v>
      </c>
      <c r="F38">
        <v>0.55371398188238063</v>
      </c>
    </row>
    <row r="39" spans="1:6" x14ac:dyDescent="0.35">
      <c r="A39" t="s">
        <v>159</v>
      </c>
      <c r="B39">
        <v>1771063</v>
      </c>
      <c r="C39">
        <v>-2.5971486124420629E-3</v>
      </c>
      <c r="D39">
        <v>7.3844613166584638E-2</v>
      </c>
      <c r="E39">
        <v>38</v>
      </c>
      <c r="F39">
        <v>0.55366010449462477</v>
      </c>
    </row>
    <row r="40" spans="1:6" x14ac:dyDescent="0.35">
      <c r="A40" t="s">
        <v>161</v>
      </c>
      <c r="B40">
        <v>249624</v>
      </c>
      <c r="C40">
        <v>1.6106645630343471E-2</v>
      </c>
      <c r="D40">
        <v>0.11713612835527409</v>
      </c>
      <c r="E40">
        <v>39</v>
      </c>
      <c r="F40">
        <v>0.55305117325588471</v>
      </c>
    </row>
    <row r="41" spans="1:6" x14ac:dyDescent="0.35">
      <c r="A41" t="s">
        <v>162</v>
      </c>
      <c r="B41">
        <v>1363767</v>
      </c>
      <c r="C41">
        <v>1.294857358804884E-2</v>
      </c>
      <c r="D41">
        <v>7.61698383720366E-2</v>
      </c>
      <c r="E41">
        <v>40</v>
      </c>
      <c r="F41">
        <v>0.55296148972003045</v>
      </c>
    </row>
    <row r="42" spans="1:6" x14ac:dyDescent="0.35">
      <c r="A42" t="s">
        <v>164</v>
      </c>
      <c r="B42">
        <v>281420</v>
      </c>
      <c r="C42">
        <v>5.0646770497984276E-3</v>
      </c>
      <c r="D42">
        <v>2.1238480690861729E-2</v>
      </c>
      <c r="E42">
        <v>41</v>
      </c>
      <c r="F42">
        <v>0.55190478338026749</v>
      </c>
    </row>
    <row r="43" spans="1:6" x14ac:dyDescent="0.35">
      <c r="A43" t="s">
        <v>167</v>
      </c>
      <c r="B43">
        <v>241212</v>
      </c>
      <c r="C43">
        <v>9.199401678909612E-3</v>
      </c>
      <c r="D43">
        <v>3.5486895253118537E-2</v>
      </c>
      <c r="E43">
        <v>42</v>
      </c>
      <c r="F43">
        <v>0.55053634879177493</v>
      </c>
    </row>
    <row r="44" spans="1:6" x14ac:dyDescent="0.35">
      <c r="A44" t="s">
        <v>170</v>
      </c>
      <c r="B44">
        <v>329437</v>
      </c>
      <c r="C44">
        <v>5.276200453773386E-3</v>
      </c>
      <c r="D44">
        <v>5.6158630867496158E-3</v>
      </c>
      <c r="E44">
        <v>43</v>
      </c>
      <c r="F44">
        <v>0.5478306281714862</v>
      </c>
    </row>
    <row r="45" spans="1:6" x14ac:dyDescent="0.35">
      <c r="A45" t="s">
        <v>171</v>
      </c>
      <c r="B45">
        <v>299317</v>
      </c>
      <c r="C45">
        <v>2.431384193528284E-2</v>
      </c>
      <c r="D45">
        <v>0.25178181667046567</v>
      </c>
      <c r="E45">
        <v>44</v>
      </c>
      <c r="F45">
        <v>0.54758337096528142</v>
      </c>
    </row>
    <row r="46" spans="1:6" x14ac:dyDescent="0.35">
      <c r="A46" t="s">
        <v>174</v>
      </c>
      <c r="B46">
        <v>379704</v>
      </c>
      <c r="C46">
        <v>2.197011153737061E-2</v>
      </c>
      <c r="D46">
        <v>4.217467089447699E-2</v>
      </c>
      <c r="E46">
        <v>45</v>
      </c>
      <c r="F46">
        <v>0.54625418467686759</v>
      </c>
    </row>
    <row r="47" spans="1:6" x14ac:dyDescent="0.35">
      <c r="A47" t="s">
        <v>176</v>
      </c>
      <c r="B47">
        <v>338696</v>
      </c>
      <c r="C47">
        <v>2.8042419664476219E-3</v>
      </c>
      <c r="D47">
        <v>7.6284095835240498E-2</v>
      </c>
      <c r="E47">
        <v>46</v>
      </c>
      <c r="F47">
        <v>0.54426489421473201</v>
      </c>
    </row>
    <row r="48" spans="1:6" x14ac:dyDescent="0.35">
      <c r="A48" t="s">
        <v>179</v>
      </c>
      <c r="B48">
        <v>425857</v>
      </c>
      <c r="C48">
        <v>1.9792337259060102E-3</v>
      </c>
      <c r="D48">
        <v>2.56781236858569E-2</v>
      </c>
      <c r="E48">
        <v>47</v>
      </c>
      <c r="F48">
        <v>0.54400601647508584</v>
      </c>
    </row>
    <row r="49" spans="1:6" x14ac:dyDescent="0.35">
      <c r="A49" t="s">
        <v>182</v>
      </c>
      <c r="B49">
        <v>588347</v>
      </c>
      <c r="C49">
        <v>1.1431783441754649E-2</v>
      </c>
      <c r="D49">
        <v>8.1732955319785014E-2</v>
      </c>
      <c r="E49">
        <v>48</v>
      </c>
      <c r="F49">
        <v>0.54312699792516461</v>
      </c>
    </row>
    <row r="50" spans="1:6" x14ac:dyDescent="0.35">
      <c r="A50" t="s">
        <v>185</v>
      </c>
      <c r="B50">
        <v>675912</v>
      </c>
      <c r="C50">
        <v>6.0102053802473772E-3</v>
      </c>
      <c r="D50">
        <v>0.25388203738702753</v>
      </c>
      <c r="E50">
        <v>49</v>
      </c>
      <c r="F50">
        <v>0.54277291186221222</v>
      </c>
    </row>
    <row r="51" spans="1:6" x14ac:dyDescent="0.35">
      <c r="A51" t="s">
        <v>186</v>
      </c>
      <c r="B51">
        <v>611272</v>
      </c>
      <c r="C51">
        <v>4.2538412265304597E-3</v>
      </c>
      <c r="D51">
        <v>7.7554792168727127E-2</v>
      </c>
      <c r="E51">
        <v>50</v>
      </c>
      <c r="F51">
        <v>0.54277186713251058</v>
      </c>
    </row>
    <row r="52" spans="1:6" x14ac:dyDescent="0.35">
      <c r="A52" t="s">
        <v>189</v>
      </c>
      <c r="B52">
        <v>331379</v>
      </c>
      <c r="C52">
        <v>4.7329208971102817E-3</v>
      </c>
      <c r="D52">
        <v>0</v>
      </c>
      <c r="E52">
        <v>51</v>
      </c>
      <c r="F52">
        <v>0.54069271296000387</v>
      </c>
    </row>
    <row r="53" spans="1:6" x14ac:dyDescent="0.35">
      <c r="A53" t="s">
        <v>191</v>
      </c>
      <c r="B53">
        <v>852878</v>
      </c>
      <c r="C53">
        <v>4.2009904420696853E-2</v>
      </c>
      <c r="D53">
        <v>0.1088195696679975</v>
      </c>
      <c r="E53">
        <v>52</v>
      </c>
      <c r="F53">
        <v>0.5398240571093752</v>
      </c>
    </row>
    <row r="54" spans="1:6" x14ac:dyDescent="0.35">
      <c r="A54" t="s">
        <v>193</v>
      </c>
      <c r="B54">
        <v>322989</v>
      </c>
      <c r="C54">
        <v>8.1351299510885201E-3</v>
      </c>
      <c r="D54">
        <v>0.16612264803946891</v>
      </c>
      <c r="E54">
        <v>53</v>
      </c>
      <c r="F54">
        <v>0.53974414827451855</v>
      </c>
    </row>
    <row r="55" spans="1:6" x14ac:dyDescent="0.35">
      <c r="A55" t="s">
        <v>196</v>
      </c>
      <c r="B55">
        <v>212374</v>
      </c>
      <c r="C55">
        <v>7.4205341039117198E-3</v>
      </c>
      <c r="D55">
        <v>3.1305740429597932E-2</v>
      </c>
      <c r="E55">
        <v>54</v>
      </c>
      <c r="F55">
        <v>0.53966093581693442</v>
      </c>
    </row>
    <row r="56" spans="1:6" x14ac:dyDescent="0.35">
      <c r="A56" t="s">
        <v>197</v>
      </c>
      <c r="B56">
        <v>542015</v>
      </c>
      <c r="C56">
        <v>-4.40606881152139E-3</v>
      </c>
      <c r="D56">
        <v>1.363576461510768E-2</v>
      </c>
      <c r="E56">
        <v>55</v>
      </c>
      <c r="F56">
        <v>0.53909364357522982</v>
      </c>
    </row>
    <row r="57" spans="1:6" x14ac:dyDescent="0.35">
      <c r="A57" t="s">
        <v>199</v>
      </c>
      <c r="B57">
        <v>334928</v>
      </c>
      <c r="C57">
        <v>5.2167048591689073E-2</v>
      </c>
      <c r="D57">
        <v>0.30667541005632309</v>
      </c>
      <c r="E57">
        <v>56</v>
      </c>
      <c r="F57">
        <v>0.53849924256451254</v>
      </c>
    </row>
    <row r="58" spans="1:6" x14ac:dyDescent="0.35">
      <c r="A58" t="s">
        <v>201</v>
      </c>
      <c r="B58">
        <v>352867</v>
      </c>
      <c r="C58">
        <v>4.7371536651217858E-3</v>
      </c>
      <c r="D58">
        <v>5.3322622574283468E-2</v>
      </c>
      <c r="E58">
        <v>57</v>
      </c>
      <c r="F58">
        <v>0.53844017104820385</v>
      </c>
    </row>
    <row r="59" spans="1:6" x14ac:dyDescent="0.35">
      <c r="A59" t="s">
        <v>203</v>
      </c>
      <c r="B59">
        <v>752202</v>
      </c>
      <c r="C59">
        <v>-1.829436474179377E-3</v>
      </c>
      <c r="D59">
        <v>6.9049150718931113E-2</v>
      </c>
      <c r="E59">
        <v>58</v>
      </c>
      <c r="F59">
        <v>0.53666845058496693</v>
      </c>
    </row>
    <row r="60" spans="1:6" x14ac:dyDescent="0.35">
      <c r="A60" t="s">
        <v>205</v>
      </c>
      <c r="B60">
        <v>444204</v>
      </c>
      <c r="C60">
        <v>3.7519612259798357E-2</v>
      </c>
      <c r="D60">
        <v>0.19693678564223879</v>
      </c>
      <c r="E60">
        <v>59</v>
      </c>
      <c r="F60">
        <v>0.5362420297666467</v>
      </c>
    </row>
    <row r="61" spans="1:6" x14ac:dyDescent="0.35">
      <c r="A61" t="s">
        <v>208</v>
      </c>
      <c r="B61">
        <v>282602</v>
      </c>
      <c r="C61">
        <v>3.79249153132959E-3</v>
      </c>
      <c r="D61">
        <v>4.2598927275921579E-2</v>
      </c>
      <c r="E61">
        <v>60</v>
      </c>
      <c r="F61">
        <v>0.53599221137937136</v>
      </c>
    </row>
    <row r="62" spans="1:6" x14ac:dyDescent="0.35">
      <c r="A62" t="s">
        <v>212</v>
      </c>
      <c r="B62">
        <v>542090</v>
      </c>
      <c r="C62">
        <v>6.4508926037081752E-3</v>
      </c>
      <c r="D62">
        <v>0.14610802629195721</v>
      </c>
      <c r="E62">
        <v>61</v>
      </c>
      <c r="F62">
        <v>0.53542641457965878</v>
      </c>
    </row>
    <row r="63" spans="1:6" x14ac:dyDescent="0.35">
      <c r="A63" t="s">
        <v>213</v>
      </c>
      <c r="B63">
        <v>373875</v>
      </c>
      <c r="C63">
        <v>1.3621120401022999E-3</v>
      </c>
      <c r="D63">
        <v>8.2444779789655545E-2</v>
      </c>
      <c r="E63">
        <v>62</v>
      </c>
      <c r="F63">
        <v>0.53452879737298231</v>
      </c>
    </row>
    <row r="64" spans="1:6" x14ac:dyDescent="0.35">
      <c r="A64" t="s">
        <v>214</v>
      </c>
      <c r="B64">
        <v>1045120</v>
      </c>
      <c r="C64">
        <v>3.5704913013526372E-2</v>
      </c>
      <c r="D64">
        <v>8.4593719678585741E-2</v>
      </c>
      <c r="E64">
        <v>63</v>
      </c>
      <c r="F64">
        <v>0.53399062852663548</v>
      </c>
    </row>
    <row r="65" spans="1:6" x14ac:dyDescent="0.35">
      <c r="A65" t="s">
        <v>215</v>
      </c>
      <c r="B65">
        <v>637013</v>
      </c>
      <c r="C65">
        <v>7.3739984032632896E-3</v>
      </c>
      <c r="D65">
        <v>8.547054573672451E-2</v>
      </c>
      <c r="E65">
        <v>64</v>
      </c>
      <c r="F65">
        <v>0.53392045295829504</v>
      </c>
    </row>
    <row r="66" spans="1:6" x14ac:dyDescent="0.35">
      <c r="A66" t="s">
        <v>216</v>
      </c>
      <c r="B66">
        <v>462220</v>
      </c>
      <c r="C66">
        <v>7.3292803776820207E-3</v>
      </c>
      <c r="D66">
        <v>8.2220359628673648E-2</v>
      </c>
      <c r="E66">
        <v>65</v>
      </c>
      <c r="F66">
        <v>0.53387875513472693</v>
      </c>
    </row>
    <row r="67" spans="1:6" x14ac:dyDescent="0.35">
      <c r="A67" t="s">
        <v>217</v>
      </c>
      <c r="B67">
        <v>275516</v>
      </c>
      <c r="C67">
        <v>1.46606776456846E-2</v>
      </c>
      <c r="D67">
        <v>4.6083045769067452E-2</v>
      </c>
      <c r="E67">
        <v>66</v>
      </c>
      <c r="F67">
        <v>0.5333815708608306</v>
      </c>
    </row>
    <row r="68" spans="1:6" x14ac:dyDescent="0.35">
      <c r="A68" t="s">
        <v>218</v>
      </c>
      <c r="B68">
        <v>398143</v>
      </c>
      <c r="C68">
        <v>1.013305142773512E-2</v>
      </c>
      <c r="D68">
        <v>3.1432891701989131E-2</v>
      </c>
      <c r="E68">
        <v>67</v>
      </c>
      <c r="F68">
        <v>0.53267488981547606</v>
      </c>
    </row>
    <row r="69" spans="1:6" x14ac:dyDescent="0.35">
      <c r="A69" t="s">
        <v>219</v>
      </c>
      <c r="B69">
        <v>978641</v>
      </c>
      <c r="C69">
        <v>6.5349985477781009E-3</v>
      </c>
      <c r="D69">
        <v>0.1340891641511355</v>
      </c>
      <c r="E69">
        <v>68</v>
      </c>
      <c r="F69">
        <v>0.53250440794803189</v>
      </c>
    </row>
    <row r="70" spans="1:6" x14ac:dyDescent="0.35">
      <c r="A70" t="s">
        <v>220</v>
      </c>
      <c r="B70">
        <v>290427</v>
      </c>
      <c r="C70">
        <v>4.7542691933882327E-3</v>
      </c>
      <c r="D70">
        <v>2.5819363008585412E-2</v>
      </c>
      <c r="E70">
        <v>69</v>
      </c>
      <c r="F70">
        <v>0.53208901237318096</v>
      </c>
    </row>
    <row r="71" spans="1:6" x14ac:dyDescent="0.35">
      <c r="A71" t="s">
        <v>221</v>
      </c>
      <c r="B71">
        <v>417029</v>
      </c>
      <c r="C71">
        <v>5.8347115955614233E-3</v>
      </c>
      <c r="D71">
        <v>6.6120282351863E-3</v>
      </c>
      <c r="E71">
        <v>70</v>
      </c>
      <c r="F71">
        <v>0.53177217173529445</v>
      </c>
    </row>
    <row r="72" spans="1:6" x14ac:dyDescent="0.35">
      <c r="A72" t="s">
        <v>222</v>
      </c>
      <c r="B72">
        <v>279210</v>
      </c>
      <c r="C72">
        <v>8.8115118796903268E-3</v>
      </c>
      <c r="D72">
        <v>5.6081112307982177E-2</v>
      </c>
      <c r="E72">
        <v>71</v>
      </c>
      <c r="F72">
        <v>0.53155551928847933</v>
      </c>
    </row>
    <row r="73" spans="1:6" x14ac:dyDescent="0.35">
      <c r="A73" t="s">
        <v>223</v>
      </c>
      <c r="B73">
        <v>302912</v>
      </c>
      <c r="C73">
        <v>5.8222810775020442E-3</v>
      </c>
      <c r="D73">
        <v>0.1021898035250195</v>
      </c>
      <c r="E73">
        <v>72</v>
      </c>
      <c r="F73">
        <v>0.53071970585340245</v>
      </c>
    </row>
    <row r="74" spans="1:6" x14ac:dyDescent="0.35">
      <c r="A74" t="s">
        <v>224</v>
      </c>
      <c r="B74">
        <v>265514</v>
      </c>
      <c r="C74">
        <v>4.0852456506344616E-3</v>
      </c>
      <c r="D74">
        <v>0.21882218605162471</v>
      </c>
      <c r="E74">
        <v>73</v>
      </c>
      <c r="F74">
        <v>0.53070652375270677</v>
      </c>
    </row>
    <row r="75" spans="1:6" x14ac:dyDescent="0.35">
      <c r="A75" t="s">
        <v>225</v>
      </c>
      <c r="B75">
        <v>430651</v>
      </c>
      <c r="C75">
        <v>8.9933292758908531E-3</v>
      </c>
      <c r="D75">
        <v>4.4354641912403493E-2</v>
      </c>
      <c r="E75">
        <v>74</v>
      </c>
      <c r="F75">
        <v>0.5305992829869195</v>
      </c>
    </row>
    <row r="76" spans="1:6" x14ac:dyDescent="0.35">
      <c r="A76" t="s">
        <v>226</v>
      </c>
      <c r="B76">
        <v>267750</v>
      </c>
      <c r="C76">
        <v>-2.760038265635908E-3</v>
      </c>
      <c r="D76">
        <v>3.4150011012134322E-2</v>
      </c>
      <c r="E76">
        <v>75</v>
      </c>
      <c r="F76">
        <v>0.53048509802939703</v>
      </c>
    </row>
    <row r="77" spans="1:6" x14ac:dyDescent="0.35">
      <c r="A77" t="s">
        <v>227</v>
      </c>
      <c r="B77">
        <v>1581426</v>
      </c>
      <c r="C77">
        <v>1.9624979540618689E-2</v>
      </c>
      <c r="D77">
        <v>0.1164333008025496</v>
      </c>
      <c r="E77">
        <v>76</v>
      </c>
      <c r="F77">
        <v>0.52948070537546399</v>
      </c>
    </row>
    <row r="78" spans="1:6" x14ac:dyDescent="0.35">
      <c r="A78" t="s">
        <v>228</v>
      </c>
      <c r="B78">
        <v>300488</v>
      </c>
      <c r="C78">
        <v>5.5509064127554344E-3</v>
      </c>
      <c r="D78">
        <v>0.1158664545751857</v>
      </c>
      <c r="E78">
        <v>77</v>
      </c>
      <c r="F78">
        <v>0.52942348419711971</v>
      </c>
    </row>
    <row r="79" spans="1:6" x14ac:dyDescent="0.35">
      <c r="A79" t="s">
        <v>229</v>
      </c>
      <c r="B79">
        <v>1296888</v>
      </c>
      <c r="C79">
        <v>4.786149752539437E-3</v>
      </c>
      <c r="D79">
        <v>8.646189397973536E-2</v>
      </c>
      <c r="E79">
        <v>78</v>
      </c>
      <c r="F79">
        <v>0.52929205628839882</v>
      </c>
    </row>
    <row r="80" spans="1:6" x14ac:dyDescent="0.35">
      <c r="A80" t="s">
        <v>230</v>
      </c>
      <c r="B80">
        <v>332857</v>
      </c>
      <c r="C80">
        <v>7.4929371756747966E-3</v>
      </c>
      <c r="D80">
        <v>5.5484280828840278E-2</v>
      </c>
      <c r="E80">
        <v>79</v>
      </c>
      <c r="F80">
        <v>0.52926449283127375</v>
      </c>
    </row>
    <row r="81" spans="1:6" x14ac:dyDescent="0.35">
      <c r="A81" t="s">
        <v>231</v>
      </c>
      <c r="B81">
        <v>584882</v>
      </c>
      <c r="C81">
        <v>3.624746974535274E-3</v>
      </c>
      <c r="D81">
        <v>0.24227664818776751</v>
      </c>
      <c r="E81">
        <v>80</v>
      </c>
      <c r="F81">
        <v>0.529130615850265</v>
      </c>
    </row>
    <row r="82" spans="1:6" x14ac:dyDescent="0.35">
      <c r="A82" t="s">
        <v>232</v>
      </c>
      <c r="B82">
        <v>5182617</v>
      </c>
      <c r="C82">
        <v>-4.0086313610294298E-3</v>
      </c>
      <c r="D82">
        <v>2.1557894832755189E-2</v>
      </c>
      <c r="E82">
        <v>81</v>
      </c>
      <c r="F82">
        <v>0.52893637183398023</v>
      </c>
    </row>
    <row r="83" spans="1:6" x14ac:dyDescent="0.35">
      <c r="A83" t="s">
        <v>233</v>
      </c>
      <c r="B83">
        <v>212954</v>
      </c>
      <c r="C83">
        <v>9.5594580495439053E-3</v>
      </c>
      <c r="D83">
        <v>0.1204975199947398</v>
      </c>
      <c r="E83">
        <v>82</v>
      </c>
      <c r="F83">
        <v>0.52876594304381719</v>
      </c>
    </row>
    <row r="84" spans="1:6" x14ac:dyDescent="0.35">
      <c r="A84" t="s">
        <v>234</v>
      </c>
      <c r="B84">
        <v>369745</v>
      </c>
      <c r="C84">
        <v>2.887014393589709E-2</v>
      </c>
      <c r="D84">
        <v>4.302038563352506E-2</v>
      </c>
      <c r="E84">
        <v>83</v>
      </c>
      <c r="F84">
        <v>0.52808743506032019</v>
      </c>
    </row>
    <row r="85" spans="1:6" x14ac:dyDescent="0.35">
      <c r="A85" t="s">
        <v>235</v>
      </c>
      <c r="B85">
        <v>293029</v>
      </c>
      <c r="C85">
        <v>5.5036848181307697E-3</v>
      </c>
      <c r="D85">
        <v>1.174533072040314E-2</v>
      </c>
      <c r="E85">
        <v>84</v>
      </c>
      <c r="F85">
        <v>0.52750647408533757</v>
      </c>
    </row>
    <row r="86" spans="1:6" x14ac:dyDescent="0.35">
      <c r="A86" t="s">
        <v>236</v>
      </c>
      <c r="B86">
        <v>852425</v>
      </c>
      <c r="C86">
        <v>-2.6747900597418609E-4</v>
      </c>
      <c r="D86">
        <v>2.812398876244963E-2</v>
      </c>
      <c r="E86">
        <v>85</v>
      </c>
      <c r="F86">
        <v>0.52725396302570215</v>
      </c>
    </row>
    <row r="87" spans="1:6" x14ac:dyDescent="0.35">
      <c r="A87" t="s">
        <v>237</v>
      </c>
      <c r="B87">
        <v>453156</v>
      </c>
      <c r="C87">
        <v>7.2201182464648669E-3</v>
      </c>
      <c r="D87">
        <v>0</v>
      </c>
      <c r="E87">
        <v>86</v>
      </c>
      <c r="F87">
        <v>0.52694500123053511</v>
      </c>
    </row>
    <row r="88" spans="1:6" x14ac:dyDescent="0.35">
      <c r="A88" t="s">
        <v>238</v>
      </c>
      <c r="B88">
        <v>369256</v>
      </c>
      <c r="C88">
        <v>3.0244683596180991E-2</v>
      </c>
      <c r="D88">
        <v>5.2550514956682469E-2</v>
      </c>
      <c r="E88">
        <v>87</v>
      </c>
      <c r="F88">
        <v>0.52648681424994503</v>
      </c>
    </row>
    <row r="89" spans="1:6" x14ac:dyDescent="0.35">
      <c r="A89" t="s">
        <v>239</v>
      </c>
      <c r="B89">
        <v>217183</v>
      </c>
      <c r="C89">
        <v>1.5905373374079299E-2</v>
      </c>
      <c r="D89">
        <v>1.374721841750149E-2</v>
      </c>
      <c r="E89">
        <v>88</v>
      </c>
      <c r="F89">
        <v>0.52544338065335316</v>
      </c>
    </row>
    <row r="90" spans="1:6" x14ac:dyDescent="0.35">
      <c r="A90" t="s">
        <v>240</v>
      </c>
      <c r="B90">
        <v>330262</v>
      </c>
      <c r="C90">
        <v>-5.2197744090550619E-4</v>
      </c>
      <c r="D90">
        <v>0.128503039686827</v>
      </c>
      <c r="E90">
        <v>89</v>
      </c>
      <c r="F90">
        <v>0.52487225587364295</v>
      </c>
    </row>
    <row r="91" spans="1:6" x14ac:dyDescent="0.35">
      <c r="A91" t="s">
        <v>241</v>
      </c>
      <c r="B91">
        <v>306235</v>
      </c>
      <c r="C91">
        <v>7.8612592160970558E-3</v>
      </c>
      <c r="D91">
        <v>9.4724831357084829E-2</v>
      </c>
      <c r="E91">
        <v>90</v>
      </c>
      <c r="F91">
        <v>0.5246643267117429</v>
      </c>
    </row>
    <row r="92" spans="1:6" x14ac:dyDescent="0.35">
      <c r="A92" t="s">
        <v>242</v>
      </c>
      <c r="B92">
        <v>647520</v>
      </c>
      <c r="C92">
        <v>1.844338169632439E-3</v>
      </c>
      <c r="D92">
        <v>0.12414118323192901</v>
      </c>
      <c r="E92">
        <v>91</v>
      </c>
      <c r="F92">
        <v>0.52431203211809074</v>
      </c>
    </row>
    <row r="93" spans="1:6" x14ac:dyDescent="0.35">
      <c r="A93" t="s">
        <v>243</v>
      </c>
      <c r="B93">
        <v>563293</v>
      </c>
      <c r="C93">
        <v>4.7297199521013538E-3</v>
      </c>
      <c r="D93">
        <v>0.1015123516995516</v>
      </c>
      <c r="E93">
        <v>92</v>
      </c>
      <c r="F93">
        <v>0.52420242438288855</v>
      </c>
    </row>
    <row r="94" spans="1:6" x14ac:dyDescent="0.35">
      <c r="A94" t="s">
        <v>244</v>
      </c>
      <c r="B94">
        <v>747234</v>
      </c>
      <c r="C94">
        <v>3.1505140098190797E-2</v>
      </c>
      <c r="D94">
        <v>0.1093287929172654</v>
      </c>
      <c r="E94">
        <v>93</v>
      </c>
      <c r="F94">
        <v>0.52401000231713424</v>
      </c>
    </row>
    <row r="95" spans="1:6" x14ac:dyDescent="0.35">
      <c r="A95" t="s">
        <v>245</v>
      </c>
      <c r="B95">
        <v>823938</v>
      </c>
      <c r="C95">
        <v>5.0004270959579404E-3</v>
      </c>
      <c r="D95">
        <v>3.9061450144982642E-2</v>
      </c>
      <c r="E95">
        <v>94</v>
      </c>
      <c r="F95">
        <v>0.52342170589278669</v>
      </c>
    </row>
    <row r="96" spans="1:6" x14ac:dyDescent="0.35">
      <c r="A96" t="s">
        <v>246</v>
      </c>
      <c r="B96">
        <v>231762</v>
      </c>
      <c r="C96">
        <v>1.441850776581479E-3</v>
      </c>
      <c r="D96">
        <v>0</v>
      </c>
      <c r="E96">
        <v>95</v>
      </c>
      <c r="F96">
        <v>0.52321870977498475</v>
      </c>
    </row>
    <row r="97" spans="1:6" x14ac:dyDescent="0.35">
      <c r="A97" t="s">
        <v>247</v>
      </c>
      <c r="B97">
        <v>602350</v>
      </c>
      <c r="C97">
        <v>3.7655119882981812E-3</v>
      </c>
      <c r="D97">
        <v>0.1208378198311246</v>
      </c>
      <c r="E97">
        <v>96</v>
      </c>
      <c r="F97">
        <v>0.52222467815743179</v>
      </c>
    </row>
    <row r="98" spans="1:6" x14ac:dyDescent="0.35">
      <c r="A98" t="s">
        <v>248</v>
      </c>
      <c r="B98">
        <v>218190</v>
      </c>
      <c r="C98">
        <v>1.2973301321917209E-2</v>
      </c>
      <c r="D98">
        <v>1.906822202659977E-2</v>
      </c>
      <c r="E98">
        <v>97</v>
      </c>
      <c r="F98">
        <v>0.52107268926319428</v>
      </c>
    </row>
    <row r="99" spans="1:6" x14ac:dyDescent="0.35">
      <c r="A99" t="s">
        <v>249</v>
      </c>
      <c r="B99">
        <v>389793</v>
      </c>
      <c r="C99">
        <v>1.6725742438757359E-2</v>
      </c>
      <c r="D99">
        <v>2.9837227254891921E-2</v>
      </c>
      <c r="E99">
        <v>98</v>
      </c>
      <c r="F99">
        <v>0.52093470596794456</v>
      </c>
    </row>
    <row r="100" spans="1:6" x14ac:dyDescent="0.35">
      <c r="A100" t="s">
        <v>250</v>
      </c>
      <c r="B100">
        <v>727362</v>
      </c>
      <c r="C100">
        <v>3.3790280104004388E-3</v>
      </c>
      <c r="D100">
        <v>3.4124365378686802E-3</v>
      </c>
      <c r="E100">
        <v>99</v>
      </c>
      <c r="F100">
        <v>0.5198172729392968</v>
      </c>
    </row>
    <row r="101" spans="1:6" x14ac:dyDescent="0.35">
      <c r="A101" t="s">
        <v>251</v>
      </c>
      <c r="B101">
        <v>568271</v>
      </c>
      <c r="C101">
        <v>-6.3950108798348391E-3</v>
      </c>
      <c r="D101">
        <v>0</v>
      </c>
      <c r="E101">
        <v>100</v>
      </c>
      <c r="F101">
        <v>0.51973007054773679</v>
      </c>
    </row>
    <row r="102" spans="1:6" x14ac:dyDescent="0.35">
      <c r="A102" t="s">
        <v>252</v>
      </c>
      <c r="B102">
        <v>886175</v>
      </c>
      <c r="C102">
        <v>1.6701806441938719E-3</v>
      </c>
      <c r="D102">
        <v>6.2170164208667111E-2</v>
      </c>
      <c r="E102">
        <v>101</v>
      </c>
      <c r="F102">
        <v>0.51968175708205711</v>
      </c>
    </row>
    <row r="103" spans="1:6" x14ac:dyDescent="0.35">
      <c r="A103" t="s">
        <v>253</v>
      </c>
      <c r="B103">
        <v>382396</v>
      </c>
      <c r="C103">
        <v>-1.187467629307091E-3</v>
      </c>
      <c r="D103">
        <v>3.1967476173787868E-2</v>
      </c>
      <c r="E103">
        <v>102</v>
      </c>
      <c r="F103">
        <v>0.51943932354010669</v>
      </c>
    </row>
    <row r="104" spans="1:6" x14ac:dyDescent="0.35">
      <c r="A104" t="s">
        <v>254</v>
      </c>
      <c r="B104">
        <v>348144</v>
      </c>
      <c r="C104">
        <v>7.9776986051254082E-3</v>
      </c>
      <c r="D104">
        <v>0.23775587429724659</v>
      </c>
      <c r="E104">
        <v>103</v>
      </c>
      <c r="F104">
        <v>0.5191869635961861</v>
      </c>
    </row>
    <row r="105" spans="1:6" x14ac:dyDescent="0.35">
      <c r="A105" t="s">
        <v>255</v>
      </c>
      <c r="B105">
        <v>322433</v>
      </c>
      <c r="C105">
        <v>6.172456969974322E-3</v>
      </c>
      <c r="D105">
        <v>6.7317343480387287E-2</v>
      </c>
      <c r="E105">
        <v>104</v>
      </c>
      <c r="F105">
        <v>0.51906817802295868</v>
      </c>
    </row>
    <row r="106" spans="1:6" x14ac:dyDescent="0.35">
      <c r="A106" t="s">
        <v>256</v>
      </c>
      <c r="B106">
        <v>1533646</v>
      </c>
      <c r="C106">
        <v>1.7797823596792672E-2</v>
      </c>
      <c r="D106">
        <v>8.8078744454419974E-2</v>
      </c>
      <c r="E106">
        <v>105</v>
      </c>
      <c r="F106">
        <v>0.51871706665166906</v>
      </c>
    </row>
    <row r="107" spans="1:6" x14ac:dyDescent="0.35">
      <c r="A107" t="s">
        <v>257</v>
      </c>
      <c r="B107">
        <v>1206285</v>
      </c>
      <c r="C107">
        <v>2.016146732445669E-2</v>
      </c>
      <c r="D107">
        <v>9.9021227497735814E-2</v>
      </c>
      <c r="E107">
        <v>106</v>
      </c>
      <c r="F107">
        <v>0.51832210840166626</v>
      </c>
    </row>
    <row r="108" spans="1:6" x14ac:dyDescent="0.35">
      <c r="A108" t="s">
        <v>258</v>
      </c>
      <c r="B108">
        <v>1080149</v>
      </c>
      <c r="C108">
        <v>8.3527310335458228E-3</v>
      </c>
      <c r="D108">
        <v>0.13957205540475989</v>
      </c>
      <c r="E108">
        <v>107</v>
      </c>
      <c r="F108">
        <v>0.51824193988150569</v>
      </c>
    </row>
    <row r="109" spans="1:6" x14ac:dyDescent="0.35">
      <c r="A109" t="s">
        <v>259</v>
      </c>
      <c r="B109">
        <v>795897</v>
      </c>
      <c r="C109">
        <v>-6.2548923768958537E-3</v>
      </c>
      <c r="D109">
        <v>6.9533437822937291E-2</v>
      </c>
      <c r="E109">
        <v>108</v>
      </c>
      <c r="F109">
        <v>0.51756101724806358</v>
      </c>
    </row>
    <row r="110" spans="1:6" x14ac:dyDescent="0.35">
      <c r="A110" t="s">
        <v>260</v>
      </c>
      <c r="B110">
        <v>588093</v>
      </c>
      <c r="C110">
        <v>7.5031920092055969E-3</v>
      </c>
      <c r="D110">
        <v>0.15555389226649971</v>
      </c>
      <c r="E110">
        <v>109</v>
      </c>
      <c r="F110">
        <v>0.51725183297610022</v>
      </c>
    </row>
    <row r="111" spans="1:6" x14ac:dyDescent="0.35">
      <c r="A111" t="s">
        <v>261</v>
      </c>
      <c r="B111">
        <v>837359</v>
      </c>
      <c r="C111">
        <v>2.0896102926477992E-3</v>
      </c>
      <c r="D111">
        <v>1.3740356634669279E-2</v>
      </c>
      <c r="E111">
        <v>110</v>
      </c>
      <c r="F111">
        <v>0.51584143905534807</v>
      </c>
    </row>
    <row r="112" spans="1:6" x14ac:dyDescent="0.35">
      <c r="A112" t="s">
        <v>262</v>
      </c>
      <c r="B112">
        <v>673002</v>
      </c>
      <c r="C112">
        <v>5.4963828197605556E-3</v>
      </c>
      <c r="D112">
        <v>6.4460595944576649E-2</v>
      </c>
      <c r="E112">
        <v>111</v>
      </c>
      <c r="F112">
        <v>0.51540096171833172</v>
      </c>
    </row>
    <row r="113" spans="1:6" x14ac:dyDescent="0.35">
      <c r="A113" t="s">
        <v>263</v>
      </c>
      <c r="B113">
        <v>343628</v>
      </c>
      <c r="C113">
        <v>1.6374164741631909E-2</v>
      </c>
      <c r="D113">
        <v>2.4357629385076629E-2</v>
      </c>
      <c r="E113">
        <v>112</v>
      </c>
      <c r="F113">
        <v>0.51436607078010388</v>
      </c>
    </row>
    <row r="114" spans="1:6" x14ac:dyDescent="0.35">
      <c r="A114" t="s">
        <v>264</v>
      </c>
      <c r="B114">
        <v>941170</v>
      </c>
      <c r="C114">
        <v>4.7406769843718714E-3</v>
      </c>
      <c r="D114">
        <v>0.1044509541320152</v>
      </c>
      <c r="E114">
        <v>113</v>
      </c>
      <c r="F114">
        <v>0.5141382648683287</v>
      </c>
    </row>
    <row r="115" spans="1:6" x14ac:dyDescent="0.35">
      <c r="A115" t="s">
        <v>265</v>
      </c>
      <c r="B115">
        <v>357467</v>
      </c>
      <c r="C115">
        <v>9.1933303943292684E-3</v>
      </c>
      <c r="D115">
        <v>0.32100548974284893</v>
      </c>
      <c r="E115">
        <v>114</v>
      </c>
      <c r="F115">
        <v>0.51398954116030793</v>
      </c>
    </row>
    <row r="116" spans="1:6" x14ac:dyDescent="0.35">
      <c r="A116" t="s">
        <v>266</v>
      </c>
      <c r="B116">
        <v>1231814</v>
      </c>
      <c r="C116">
        <v>-3.5723402399511551E-3</v>
      </c>
      <c r="D116">
        <v>3.3000430876430467E-2</v>
      </c>
      <c r="E116">
        <v>115</v>
      </c>
      <c r="F116">
        <v>0.51363340128231849</v>
      </c>
    </row>
    <row r="117" spans="1:6" x14ac:dyDescent="0.35">
      <c r="A117" t="s">
        <v>267</v>
      </c>
      <c r="B117">
        <v>232387</v>
      </c>
      <c r="C117">
        <v>4.8962321435922773E-2</v>
      </c>
      <c r="D117">
        <v>0.17047152227995441</v>
      </c>
      <c r="E117">
        <v>116</v>
      </c>
      <c r="F117">
        <v>0.51246395485827578</v>
      </c>
    </row>
    <row r="118" spans="1:6" x14ac:dyDescent="0.35">
      <c r="A118" t="s">
        <v>268</v>
      </c>
      <c r="B118">
        <v>965870</v>
      </c>
      <c r="C118">
        <v>1.5708363590143761E-3</v>
      </c>
      <c r="D118">
        <v>7.8098791408677246E-2</v>
      </c>
      <c r="E118">
        <v>117</v>
      </c>
      <c r="F118">
        <v>0.51206960676677282</v>
      </c>
    </row>
    <row r="119" spans="1:6" x14ac:dyDescent="0.35">
      <c r="A119" t="s">
        <v>269</v>
      </c>
      <c r="B119">
        <v>523053</v>
      </c>
      <c r="C119">
        <v>7.1690279897418151E-3</v>
      </c>
      <c r="D119">
        <v>0.1212155757861994</v>
      </c>
      <c r="E119">
        <v>118</v>
      </c>
      <c r="F119">
        <v>0.51139291133288367</v>
      </c>
    </row>
    <row r="120" spans="1:6" x14ac:dyDescent="0.35">
      <c r="A120" t="s">
        <v>270</v>
      </c>
      <c r="B120">
        <v>211535</v>
      </c>
      <c r="C120">
        <v>1.5121321501980251E-2</v>
      </c>
      <c r="D120">
        <v>0.1071102719471819</v>
      </c>
      <c r="E120">
        <v>119</v>
      </c>
      <c r="F120">
        <v>0.51128899220840218</v>
      </c>
    </row>
    <row r="121" spans="1:6" x14ac:dyDescent="0.35">
      <c r="A121" t="s">
        <v>271</v>
      </c>
      <c r="B121">
        <v>220310</v>
      </c>
      <c r="C121">
        <v>1.7802008120000969E-2</v>
      </c>
      <c r="D121">
        <v>9.0480912245909772E-3</v>
      </c>
      <c r="E121">
        <v>120</v>
      </c>
      <c r="F121">
        <v>0.510775383077546</v>
      </c>
    </row>
    <row r="122" spans="1:6" x14ac:dyDescent="0.35">
      <c r="A122" t="s">
        <v>272</v>
      </c>
      <c r="B122">
        <v>576718</v>
      </c>
      <c r="C122">
        <v>5.3992198764981599E-3</v>
      </c>
      <c r="D122">
        <v>0.17174669497561501</v>
      </c>
      <c r="E122">
        <v>121</v>
      </c>
      <c r="F122">
        <v>0.51065063266647925</v>
      </c>
    </row>
    <row r="123" spans="1:6" x14ac:dyDescent="0.35">
      <c r="A123" t="s">
        <v>273</v>
      </c>
      <c r="B123">
        <v>210434</v>
      </c>
      <c r="C123">
        <v>1.2176836314668549E-3</v>
      </c>
      <c r="D123">
        <v>2.3199377765927068E-2</v>
      </c>
      <c r="E123">
        <v>122</v>
      </c>
      <c r="F123">
        <v>0.51031782427131145</v>
      </c>
    </row>
    <row r="124" spans="1:6" x14ac:dyDescent="0.35">
      <c r="A124" t="s">
        <v>274</v>
      </c>
      <c r="B124">
        <v>1090354</v>
      </c>
      <c r="C124">
        <v>4.9145121304588939E-3</v>
      </c>
      <c r="D124">
        <v>6.8886382648137942E-2</v>
      </c>
      <c r="E124">
        <v>123</v>
      </c>
      <c r="F124">
        <v>0.50970439631223652</v>
      </c>
    </row>
    <row r="125" spans="1:6" x14ac:dyDescent="0.35">
      <c r="A125" t="s">
        <v>275</v>
      </c>
      <c r="B125">
        <v>1273334</v>
      </c>
      <c r="C125">
        <v>-1.636080210841352E-3</v>
      </c>
      <c r="D125">
        <v>4.4159068585048228E-2</v>
      </c>
      <c r="E125">
        <v>124</v>
      </c>
      <c r="F125">
        <v>0.50917745096185196</v>
      </c>
    </row>
    <row r="126" spans="1:6" x14ac:dyDescent="0.35">
      <c r="A126" t="s">
        <v>276</v>
      </c>
      <c r="B126">
        <v>201628</v>
      </c>
      <c r="C126">
        <v>5.8041579838300633E-2</v>
      </c>
      <c r="D126">
        <v>4.6805866633430719E-2</v>
      </c>
      <c r="E126">
        <v>125</v>
      </c>
      <c r="F126">
        <v>0.50916904428557663</v>
      </c>
    </row>
    <row r="127" spans="1:6" x14ac:dyDescent="0.35">
      <c r="A127" t="s">
        <v>277</v>
      </c>
      <c r="B127">
        <v>385655</v>
      </c>
      <c r="C127">
        <v>7.4514076364578241E-3</v>
      </c>
      <c r="D127">
        <v>0.28759088362288437</v>
      </c>
      <c r="E127">
        <v>126</v>
      </c>
      <c r="F127">
        <v>0.50901061738347297</v>
      </c>
    </row>
    <row r="128" spans="1:6" x14ac:dyDescent="0.35">
      <c r="A128" t="s">
        <v>278</v>
      </c>
      <c r="B128">
        <v>264780</v>
      </c>
      <c r="C128">
        <v>2.832163291497017E-3</v>
      </c>
      <c r="D128">
        <v>3.4838812711900327E-2</v>
      </c>
      <c r="E128">
        <v>127</v>
      </c>
      <c r="F128">
        <v>0.5089503842993105</v>
      </c>
    </row>
    <row r="129" spans="1:6" x14ac:dyDescent="0.35">
      <c r="A129" t="s">
        <v>279</v>
      </c>
      <c r="B129">
        <v>881248</v>
      </c>
      <c r="C129">
        <v>7.0459180578047627E-3</v>
      </c>
      <c r="D129">
        <v>8.2243143675808428E-2</v>
      </c>
      <c r="E129">
        <v>128</v>
      </c>
      <c r="F129">
        <v>0.50880415137162049</v>
      </c>
    </row>
    <row r="130" spans="1:6" x14ac:dyDescent="0.35">
      <c r="A130" t="s">
        <v>280</v>
      </c>
      <c r="B130">
        <v>914820</v>
      </c>
      <c r="C130">
        <v>1.200835842234778E-2</v>
      </c>
      <c r="D130">
        <v>0.1042096692985537</v>
      </c>
      <c r="E130">
        <v>129</v>
      </c>
      <c r="F130">
        <v>0.5076857210432727</v>
      </c>
    </row>
    <row r="131" spans="1:6" x14ac:dyDescent="0.35">
      <c r="A131" t="s">
        <v>281</v>
      </c>
      <c r="B131">
        <v>558816</v>
      </c>
      <c r="C131">
        <v>9.3060744931425989E-3</v>
      </c>
      <c r="D131">
        <v>4.5878612803580639E-2</v>
      </c>
      <c r="E131">
        <v>130</v>
      </c>
      <c r="F131">
        <v>0.50764554594926425</v>
      </c>
    </row>
    <row r="132" spans="1:6" x14ac:dyDescent="0.35">
      <c r="A132" t="s">
        <v>282</v>
      </c>
      <c r="B132">
        <v>2656028</v>
      </c>
      <c r="C132">
        <v>4.3366040522594927E-3</v>
      </c>
      <c r="D132">
        <v>5.2218920546491243E-2</v>
      </c>
      <c r="E132">
        <v>131</v>
      </c>
      <c r="F132">
        <v>0.5073420310863227</v>
      </c>
    </row>
    <row r="133" spans="1:6" x14ac:dyDescent="0.35">
      <c r="A133" t="s">
        <v>283</v>
      </c>
      <c r="B133">
        <v>875784</v>
      </c>
      <c r="C133">
        <v>2.6249475010499792E-3</v>
      </c>
      <c r="D133">
        <v>9.7381949957944552E-2</v>
      </c>
      <c r="E133">
        <v>132</v>
      </c>
      <c r="F133">
        <v>0.50708804876372049</v>
      </c>
    </row>
    <row r="134" spans="1:6" x14ac:dyDescent="0.35">
      <c r="A134" t="s">
        <v>284</v>
      </c>
      <c r="B134">
        <v>392138</v>
      </c>
      <c r="C134">
        <v>3.652080767519121E-3</v>
      </c>
      <c r="D134">
        <v>0.11759000790754839</v>
      </c>
      <c r="E134">
        <v>133</v>
      </c>
      <c r="F134">
        <v>0.50682543217956955</v>
      </c>
    </row>
    <row r="135" spans="1:6" x14ac:dyDescent="0.35">
      <c r="A135" t="s">
        <v>285</v>
      </c>
      <c r="B135">
        <v>494605</v>
      </c>
      <c r="C135">
        <v>1.2266370007126619E-2</v>
      </c>
      <c r="D135">
        <v>0.1830093414471147</v>
      </c>
      <c r="E135">
        <v>134</v>
      </c>
      <c r="F135">
        <v>0.50672701953743504</v>
      </c>
    </row>
    <row r="136" spans="1:6" x14ac:dyDescent="0.35">
      <c r="A136" t="s">
        <v>286</v>
      </c>
      <c r="B136">
        <v>263370</v>
      </c>
      <c r="C136">
        <v>9.0745440594935962E-3</v>
      </c>
      <c r="D136">
        <v>6.0432856819212587E-2</v>
      </c>
      <c r="E136">
        <v>135</v>
      </c>
      <c r="F136">
        <v>0.50623679276039379</v>
      </c>
    </row>
    <row r="137" spans="1:6" x14ac:dyDescent="0.35">
      <c r="A137" t="s">
        <v>287</v>
      </c>
      <c r="B137">
        <v>1535909</v>
      </c>
      <c r="C137">
        <v>2.2556539162711252E-3</v>
      </c>
      <c r="D137">
        <v>0.20385115884700919</v>
      </c>
      <c r="E137">
        <v>136</v>
      </c>
      <c r="F137">
        <v>0.50618467512285492</v>
      </c>
    </row>
    <row r="138" spans="1:6" x14ac:dyDescent="0.35">
      <c r="A138" t="s">
        <v>288</v>
      </c>
      <c r="B138">
        <v>209570</v>
      </c>
      <c r="C138">
        <v>-3.0205107173329939E-3</v>
      </c>
      <c r="D138">
        <v>0.15270046944808</v>
      </c>
      <c r="E138">
        <v>137</v>
      </c>
      <c r="F138">
        <v>0.50566847180074503</v>
      </c>
    </row>
    <row r="139" spans="1:6" x14ac:dyDescent="0.35">
      <c r="A139" t="s">
        <v>289</v>
      </c>
      <c r="B139">
        <v>439117</v>
      </c>
      <c r="C139">
        <v>6.0789422733751189E-3</v>
      </c>
      <c r="D139">
        <v>8.6238933216745001E-2</v>
      </c>
      <c r="E139">
        <v>138</v>
      </c>
      <c r="F139">
        <v>0.50559765219736297</v>
      </c>
    </row>
    <row r="140" spans="1:6" x14ac:dyDescent="0.35">
      <c r="A140" t="s">
        <v>290</v>
      </c>
      <c r="B140">
        <v>890119</v>
      </c>
      <c r="C140">
        <v>8.3169851182875575E-3</v>
      </c>
      <c r="D140">
        <v>0.31165732456249001</v>
      </c>
      <c r="E140">
        <v>139</v>
      </c>
      <c r="F140">
        <v>0.50512181520320842</v>
      </c>
    </row>
    <row r="141" spans="1:6" x14ac:dyDescent="0.35">
      <c r="A141" t="s">
        <v>291</v>
      </c>
      <c r="B141">
        <v>1240594</v>
      </c>
      <c r="C141">
        <v>-4.3640878005124202E-3</v>
      </c>
      <c r="D141">
        <v>1.995073404507618E-2</v>
      </c>
      <c r="E141">
        <v>140</v>
      </c>
      <c r="F141">
        <v>0.50460103079340912</v>
      </c>
    </row>
    <row r="142" spans="1:6" x14ac:dyDescent="0.35">
      <c r="A142" t="s">
        <v>292</v>
      </c>
      <c r="B142">
        <v>233655</v>
      </c>
      <c r="C142">
        <v>7.4166126835975201E-3</v>
      </c>
      <c r="D142">
        <v>6.8574985541569766E-2</v>
      </c>
      <c r="E142">
        <v>141</v>
      </c>
      <c r="F142">
        <v>0.5044926467297477</v>
      </c>
    </row>
    <row r="143" spans="1:6" x14ac:dyDescent="0.35">
      <c r="A143" t="s">
        <v>293</v>
      </c>
      <c r="B143">
        <v>258523</v>
      </c>
      <c r="C143">
        <v>1.740114358718684E-3</v>
      </c>
      <c r="D143">
        <v>9.8231613249598424E-3</v>
      </c>
      <c r="E143">
        <v>142</v>
      </c>
      <c r="F143">
        <v>0.5038075666507067</v>
      </c>
    </row>
    <row r="144" spans="1:6" x14ac:dyDescent="0.35">
      <c r="A144" t="s">
        <v>294</v>
      </c>
      <c r="B144">
        <v>992929</v>
      </c>
      <c r="C144">
        <v>-2.6029623989411751E-3</v>
      </c>
      <c r="D144">
        <v>2.5303870206243879E-2</v>
      </c>
      <c r="E144">
        <v>143</v>
      </c>
      <c r="F144">
        <v>0.50352615278199442</v>
      </c>
    </row>
    <row r="145" spans="1:6" x14ac:dyDescent="0.35">
      <c r="A145" t="s">
        <v>295</v>
      </c>
      <c r="B145">
        <v>235969</v>
      </c>
      <c r="C145">
        <v>1.3458231918361881E-2</v>
      </c>
      <c r="D145">
        <v>3.8047872376565227E-2</v>
      </c>
      <c r="E145">
        <v>144</v>
      </c>
      <c r="F145">
        <v>0.50331960970200518</v>
      </c>
    </row>
    <row r="146" spans="1:6" x14ac:dyDescent="0.35">
      <c r="A146" t="s">
        <v>296</v>
      </c>
      <c r="B146">
        <v>1055159</v>
      </c>
      <c r="C146">
        <v>1.4364478375989399E-2</v>
      </c>
      <c r="D146">
        <v>0.1753839467800164</v>
      </c>
      <c r="E146">
        <v>145</v>
      </c>
      <c r="F146">
        <v>0.50323144669553199</v>
      </c>
    </row>
    <row r="147" spans="1:6" x14ac:dyDescent="0.35">
      <c r="A147" t="s">
        <v>297</v>
      </c>
      <c r="B147">
        <v>555947</v>
      </c>
      <c r="C147">
        <v>6.8131256952169081E-3</v>
      </c>
      <c r="D147">
        <v>5.0554093951065547E-2</v>
      </c>
      <c r="E147">
        <v>146</v>
      </c>
      <c r="F147">
        <v>0.5022922142820565</v>
      </c>
    </row>
    <row r="148" spans="1:6" x14ac:dyDescent="0.35">
      <c r="A148" t="s">
        <v>298</v>
      </c>
      <c r="B148">
        <v>427253</v>
      </c>
      <c r="C148">
        <v>-7.1029478313666726E-3</v>
      </c>
      <c r="D148">
        <v>3.698661132263904E-3</v>
      </c>
      <c r="E148">
        <v>147</v>
      </c>
      <c r="F148">
        <v>0.50194857995846331</v>
      </c>
    </row>
    <row r="149" spans="1:6" x14ac:dyDescent="0.35">
      <c r="A149" t="s">
        <v>299</v>
      </c>
      <c r="B149">
        <v>307942</v>
      </c>
      <c r="C149">
        <v>7.1910119866903637E-3</v>
      </c>
      <c r="D149">
        <v>5.9231814894011831E-2</v>
      </c>
      <c r="E149">
        <v>148</v>
      </c>
      <c r="F149">
        <v>0.50189876073129969</v>
      </c>
    </row>
    <row r="150" spans="1:6" x14ac:dyDescent="0.35">
      <c r="A150" t="s">
        <v>300</v>
      </c>
      <c r="B150">
        <v>272823</v>
      </c>
      <c r="C150">
        <v>5.1006477962957418E-3</v>
      </c>
      <c r="D150">
        <v>0.15852269763373211</v>
      </c>
      <c r="E150">
        <v>149</v>
      </c>
      <c r="F150">
        <v>0.50184971961181002</v>
      </c>
    </row>
    <row r="151" spans="1:6" x14ac:dyDescent="0.35">
      <c r="A151" t="s">
        <v>301</v>
      </c>
      <c r="B151">
        <v>536081</v>
      </c>
      <c r="C151">
        <v>5.3559486088061627E-3</v>
      </c>
      <c r="D151">
        <v>3.082118305765863E-2</v>
      </c>
      <c r="E151">
        <v>150</v>
      </c>
      <c r="F151">
        <v>0.50105692351345221</v>
      </c>
    </row>
    <row r="152" spans="1:6" x14ac:dyDescent="0.35">
      <c r="A152" t="s">
        <v>302</v>
      </c>
      <c r="B152">
        <v>469812</v>
      </c>
      <c r="C152">
        <v>-2.322771383625253E-3</v>
      </c>
      <c r="D152">
        <v>0.13045446677632069</v>
      </c>
      <c r="E152">
        <v>151</v>
      </c>
      <c r="F152">
        <v>0.50103773189956546</v>
      </c>
    </row>
    <row r="153" spans="1:6" x14ac:dyDescent="0.35">
      <c r="A153" t="s">
        <v>303</v>
      </c>
      <c r="B153">
        <v>229366</v>
      </c>
      <c r="C153">
        <v>1.056146026927918E-2</v>
      </c>
      <c r="D153">
        <v>5.515959077246517E-2</v>
      </c>
      <c r="E153">
        <v>152</v>
      </c>
      <c r="F153">
        <v>0.50072910388620984</v>
      </c>
    </row>
    <row r="154" spans="1:6" x14ac:dyDescent="0.35">
      <c r="A154" t="s">
        <v>304</v>
      </c>
      <c r="B154">
        <v>937142</v>
      </c>
      <c r="C154">
        <v>1.5120643086264419E-3</v>
      </c>
      <c r="D154">
        <v>7.8524071698257397E-2</v>
      </c>
      <c r="E154">
        <v>153</v>
      </c>
      <c r="F154">
        <v>0.50067450788563395</v>
      </c>
    </row>
    <row r="155" spans="1:6" x14ac:dyDescent="0.35">
      <c r="A155" t="s">
        <v>305</v>
      </c>
      <c r="B155">
        <v>303001</v>
      </c>
      <c r="C155">
        <v>1.6855901811443589E-2</v>
      </c>
      <c r="D155">
        <v>5.5224220003680637E-2</v>
      </c>
      <c r="E155">
        <v>154</v>
      </c>
      <c r="F155">
        <v>0.50061195895849864</v>
      </c>
    </row>
    <row r="156" spans="1:6" x14ac:dyDescent="0.35">
      <c r="A156" t="s">
        <v>306</v>
      </c>
      <c r="B156">
        <v>211721</v>
      </c>
      <c r="C156">
        <v>1.8109867288015401E-2</v>
      </c>
      <c r="D156">
        <v>5.5679579162162027E-2</v>
      </c>
      <c r="E156">
        <v>155</v>
      </c>
      <c r="F156">
        <v>0.50008637802272038</v>
      </c>
    </row>
    <row r="157" spans="1:6" x14ac:dyDescent="0.35">
      <c r="A157" t="s">
        <v>307</v>
      </c>
      <c r="B157">
        <v>254997</v>
      </c>
      <c r="C157">
        <v>5.2767833545565943E-3</v>
      </c>
      <c r="D157">
        <v>3.670042167179486E-2</v>
      </c>
      <c r="E157">
        <v>156</v>
      </c>
      <c r="F157">
        <v>0.49990561977393172</v>
      </c>
    </row>
    <row r="158" spans="1:6" x14ac:dyDescent="0.35">
      <c r="A158" t="s">
        <v>308</v>
      </c>
      <c r="B158">
        <v>671747</v>
      </c>
      <c r="C158">
        <v>-1.896563950585183E-3</v>
      </c>
      <c r="D158">
        <v>7.0947949851850198E-2</v>
      </c>
      <c r="E158">
        <v>157</v>
      </c>
      <c r="F158">
        <v>0.49960259574641558</v>
      </c>
    </row>
    <row r="159" spans="1:6" x14ac:dyDescent="0.35">
      <c r="A159" t="s">
        <v>309</v>
      </c>
      <c r="B159">
        <v>659114</v>
      </c>
      <c r="C159">
        <v>4.1034508338308177E-2</v>
      </c>
      <c r="D159">
        <v>0.20563116137699941</v>
      </c>
      <c r="E159">
        <v>158</v>
      </c>
      <c r="F159">
        <v>0.49955122112027078</v>
      </c>
    </row>
    <row r="160" spans="1:6" x14ac:dyDescent="0.35">
      <c r="A160" t="s">
        <v>310</v>
      </c>
      <c r="B160">
        <v>430462</v>
      </c>
      <c r="C160">
        <v>4.4528750688649869E-3</v>
      </c>
      <c r="D160">
        <v>3.8256299050488572E-2</v>
      </c>
      <c r="E160">
        <v>159</v>
      </c>
      <c r="F160">
        <v>0.49953775885470991</v>
      </c>
    </row>
    <row r="161" spans="1:6" x14ac:dyDescent="0.35">
      <c r="A161" t="s">
        <v>311</v>
      </c>
      <c r="B161">
        <v>378470</v>
      </c>
      <c r="C161">
        <v>1.01039673638143E-2</v>
      </c>
      <c r="D161">
        <v>1.3401305352414039E-2</v>
      </c>
      <c r="E161">
        <v>160</v>
      </c>
      <c r="F161">
        <v>0.49869265437063759</v>
      </c>
    </row>
    <row r="162" spans="1:6" x14ac:dyDescent="0.35">
      <c r="A162" t="s">
        <v>312</v>
      </c>
      <c r="B162">
        <v>507280</v>
      </c>
      <c r="C162">
        <v>1.0023578861038499E-2</v>
      </c>
      <c r="D162">
        <v>3.8506900339164457E-2</v>
      </c>
      <c r="E162">
        <v>161</v>
      </c>
      <c r="F162">
        <v>0.49691338483456282</v>
      </c>
    </row>
    <row r="163" spans="1:6" x14ac:dyDescent="0.35">
      <c r="A163" t="s">
        <v>313</v>
      </c>
      <c r="B163">
        <v>211975</v>
      </c>
      <c r="C163">
        <v>-1.6312640008466651E-2</v>
      </c>
      <c r="D163">
        <v>6.3507337232132366E-3</v>
      </c>
      <c r="E163">
        <v>162</v>
      </c>
      <c r="F163">
        <v>0.49659475441288642</v>
      </c>
    </row>
    <row r="164" spans="1:6" x14ac:dyDescent="0.35">
      <c r="A164" t="s">
        <v>314</v>
      </c>
      <c r="B164">
        <v>506748</v>
      </c>
      <c r="C164">
        <v>1.3640147337315049E-2</v>
      </c>
      <c r="D164">
        <v>0.116111581912137</v>
      </c>
      <c r="E164">
        <v>163</v>
      </c>
      <c r="F164">
        <v>0.4959740997819479</v>
      </c>
    </row>
    <row r="165" spans="1:6" x14ac:dyDescent="0.35">
      <c r="A165" t="s">
        <v>315</v>
      </c>
      <c r="B165">
        <v>207943</v>
      </c>
      <c r="C165">
        <v>3.5590482835152641E-2</v>
      </c>
      <c r="D165">
        <v>3.6294961975155388E-2</v>
      </c>
      <c r="E165">
        <v>164</v>
      </c>
      <c r="F165">
        <v>0.4955554652348424</v>
      </c>
    </row>
    <row r="166" spans="1:6" x14ac:dyDescent="0.35">
      <c r="A166" t="s">
        <v>316</v>
      </c>
      <c r="B166">
        <v>416233</v>
      </c>
      <c r="C166">
        <v>2.5774452668876929E-2</v>
      </c>
      <c r="D166">
        <v>5.2813703362112829E-2</v>
      </c>
      <c r="E166">
        <v>165</v>
      </c>
      <c r="F166">
        <v>0.49416313438661957</v>
      </c>
    </row>
    <row r="167" spans="1:6" x14ac:dyDescent="0.35">
      <c r="A167" t="s">
        <v>317</v>
      </c>
      <c r="B167">
        <v>570745</v>
      </c>
      <c r="C167">
        <v>2.0615306126319542E-2</v>
      </c>
      <c r="D167">
        <v>0.1103021561380876</v>
      </c>
      <c r="E167">
        <v>166</v>
      </c>
      <c r="F167">
        <v>0.494051704327783</v>
      </c>
    </row>
    <row r="168" spans="1:6" x14ac:dyDescent="0.35">
      <c r="A168" t="s">
        <v>318</v>
      </c>
      <c r="B168">
        <v>252013</v>
      </c>
      <c r="C168">
        <v>1.558100224256833E-2</v>
      </c>
      <c r="D168">
        <v>0.15787690263014789</v>
      </c>
      <c r="E168">
        <v>167</v>
      </c>
      <c r="F168">
        <v>0.49394543601440388</v>
      </c>
    </row>
    <row r="169" spans="1:6" x14ac:dyDescent="0.35">
      <c r="A169" t="s">
        <v>319</v>
      </c>
      <c r="B169">
        <v>228347</v>
      </c>
      <c r="C169">
        <v>-2.981354634080907E-3</v>
      </c>
      <c r="D169">
        <v>4.61949507528586E-2</v>
      </c>
      <c r="E169">
        <v>168</v>
      </c>
      <c r="F169">
        <v>0.49357568132848628</v>
      </c>
    </row>
    <row r="170" spans="1:6" x14ac:dyDescent="0.35">
      <c r="A170" t="s">
        <v>320</v>
      </c>
      <c r="B170">
        <v>221331</v>
      </c>
      <c r="C170">
        <v>-2.7083193671649801E-3</v>
      </c>
      <c r="D170">
        <v>1.5635972890878171E-2</v>
      </c>
      <c r="E170">
        <v>169</v>
      </c>
      <c r="F170">
        <v>0.49355659706345972</v>
      </c>
    </row>
    <row r="171" spans="1:6" x14ac:dyDescent="0.35">
      <c r="A171" t="s">
        <v>321</v>
      </c>
      <c r="B171">
        <v>560745</v>
      </c>
      <c r="C171">
        <v>1.2098960475638481E-2</v>
      </c>
      <c r="D171">
        <v>0.18625129198462981</v>
      </c>
      <c r="E171">
        <v>170</v>
      </c>
      <c r="F171">
        <v>0.49070194661819982</v>
      </c>
    </row>
    <row r="172" spans="1:6" x14ac:dyDescent="0.35">
      <c r="A172" t="s">
        <v>322</v>
      </c>
      <c r="B172">
        <v>216859</v>
      </c>
      <c r="C172">
        <v>1.5322124172999661E-3</v>
      </c>
      <c r="D172">
        <v>0.12687997842966101</v>
      </c>
      <c r="E172">
        <v>171</v>
      </c>
      <c r="F172">
        <v>0.4902874457202353</v>
      </c>
    </row>
    <row r="173" spans="1:6" x14ac:dyDescent="0.35">
      <c r="A173" t="s">
        <v>323</v>
      </c>
      <c r="B173">
        <v>770307</v>
      </c>
      <c r="C173">
        <v>1.856126492551953E-3</v>
      </c>
      <c r="D173">
        <v>2.0995426098383278E-2</v>
      </c>
      <c r="E173">
        <v>172</v>
      </c>
      <c r="F173">
        <v>0.48950857847692753</v>
      </c>
    </row>
    <row r="174" spans="1:6" x14ac:dyDescent="0.35">
      <c r="A174" t="s">
        <v>324</v>
      </c>
      <c r="B174">
        <v>399295</v>
      </c>
      <c r="C174">
        <v>8.5283704933402059E-3</v>
      </c>
      <c r="D174">
        <v>0.16114568716712119</v>
      </c>
      <c r="E174">
        <v>173</v>
      </c>
      <c r="F174">
        <v>0.48928467161009198</v>
      </c>
    </row>
    <row r="175" spans="1:6" x14ac:dyDescent="0.35">
      <c r="A175" t="s">
        <v>325</v>
      </c>
      <c r="B175">
        <v>453022</v>
      </c>
      <c r="C175">
        <v>-1.5869151334895019E-3</v>
      </c>
      <c r="D175">
        <v>0</v>
      </c>
      <c r="E175">
        <v>174</v>
      </c>
      <c r="F175">
        <v>0.48917453439163278</v>
      </c>
    </row>
    <row r="176" spans="1:6" x14ac:dyDescent="0.35">
      <c r="A176" t="s">
        <v>326</v>
      </c>
      <c r="B176">
        <v>367407</v>
      </c>
      <c r="C176">
        <v>1.123487653794304E-2</v>
      </c>
      <c r="D176">
        <v>5.1118617317457218E-2</v>
      </c>
      <c r="E176">
        <v>175</v>
      </c>
      <c r="F176">
        <v>0.48879811974296911</v>
      </c>
    </row>
    <row r="177" spans="1:6" x14ac:dyDescent="0.35">
      <c r="A177" t="s">
        <v>327</v>
      </c>
      <c r="B177">
        <v>350935</v>
      </c>
      <c r="C177">
        <v>-2.401654912386161E-3</v>
      </c>
      <c r="D177">
        <v>4.3189870917547647E-2</v>
      </c>
      <c r="E177">
        <v>176</v>
      </c>
      <c r="F177">
        <v>0.48863058113169211</v>
      </c>
    </row>
    <row r="178" spans="1:6" x14ac:dyDescent="0.35">
      <c r="A178" t="s">
        <v>328</v>
      </c>
      <c r="B178">
        <v>243333</v>
      </c>
      <c r="C178">
        <v>1.864826313139788E-2</v>
      </c>
      <c r="D178">
        <v>9.1600829002870143E-2</v>
      </c>
      <c r="E178">
        <v>177</v>
      </c>
      <c r="F178">
        <v>0.48781636964613428</v>
      </c>
    </row>
    <row r="179" spans="1:6" x14ac:dyDescent="0.35">
      <c r="A179" t="s">
        <v>329</v>
      </c>
      <c r="B179">
        <v>4673096</v>
      </c>
      <c r="C179">
        <v>1.280426011969636E-2</v>
      </c>
      <c r="D179">
        <v>0.10189262847412189</v>
      </c>
      <c r="E179">
        <v>178</v>
      </c>
      <c r="F179">
        <v>0.48765803449969292</v>
      </c>
    </row>
    <row r="180" spans="1:6" x14ac:dyDescent="0.35">
      <c r="A180" t="s">
        <v>330</v>
      </c>
      <c r="B180">
        <v>664744</v>
      </c>
      <c r="C180">
        <v>-3.6989034083414478E-3</v>
      </c>
      <c r="D180">
        <v>0</v>
      </c>
      <c r="E180">
        <v>179</v>
      </c>
      <c r="F180">
        <v>0.48722775177266631</v>
      </c>
    </row>
    <row r="181" spans="1:6" x14ac:dyDescent="0.35">
      <c r="A181" t="s">
        <v>331</v>
      </c>
      <c r="B181">
        <v>708583</v>
      </c>
      <c r="C181">
        <v>4.1877777442966011E-3</v>
      </c>
      <c r="D181">
        <v>0.19014629292761789</v>
      </c>
      <c r="E181">
        <v>180</v>
      </c>
      <c r="F181">
        <v>0.48709306732179819</v>
      </c>
    </row>
    <row r="182" spans="1:6" x14ac:dyDescent="0.35">
      <c r="A182" t="s">
        <v>332</v>
      </c>
      <c r="B182">
        <v>879190</v>
      </c>
      <c r="C182">
        <v>6.5030925428871513E-3</v>
      </c>
      <c r="D182">
        <v>0.13324727422037241</v>
      </c>
      <c r="E182">
        <v>181</v>
      </c>
      <c r="F182">
        <v>0.48695268154611732</v>
      </c>
    </row>
    <row r="183" spans="1:6" x14ac:dyDescent="0.35">
      <c r="A183" t="s">
        <v>333</v>
      </c>
      <c r="B183">
        <v>376996</v>
      </c>
      <c r="C183">
        <v>2.453670529155088E-2</v>
      </c>
      <c r="D183">
        <v>0.15454492193221431</v>
      </c>
      <c r="E183">
        <v>182</v>
      </c>
      <c r="F183">
        <v>0.4858707240109299</v>
      </c>
    </row>
    <row r="184" spans="1:6" x14ac:dyDescent="0.35">
      <c r="A184" t="s">
        <v>334</v>
      </c>
      <c r="B184">
        <v>214123</v>
      </c>
      <c r="C184">
        <v>6.4285885368015137E-3</v>
      </c>
      <c r="D184">
        <v>5.296580946653499E-3</v>
      </c>
      <c r="E184">
        <v>183</v>
      </c>
      <c r="F184">
        <v>0.48572133518493033</v>
      </c>
    </row>
    <row r="185" spans="1:6" x14ac:dyDescent="0.35">
      <c r="A185" t="s">
        <v>335</v>
      </c>
      <c r="B185">
        <v>299963</v>
      </c>
      <c r="C185">
        <v>3.421613785132793E-3</v>
      </c>
      <c r="D185">
        <v>0.37173547430121701</v>
      </c>
      <c r="E185">
        <v>184</v>
      </c>
      <c r="F185">
        <v>0.48555397089271879</v>
      </c>
    </row>
    <row r="186" spans="1:6" x14ac:dyDescent="0.35">
      <c r="A186" t="s">
        <v>336</v>
      </c>
      <c r="B186">
        <v>588593</v>
      </c>
      <c r="C186">
        <v>5.1220057700042997E-3</v>
      </c>
      <c r="D186">
        <v>5.329855688638474E-2</v>
      </c>
      <c r="E186">
        <v>185</v>
      </c>
      <c r="F186">
        <v>0.48484121365666422</v>
      </c>
    </row>
    <row r="187" spans="1:6" x14ac:dyDescent="0.35">
      <c r="A187" t="s">
        <v>337</v>
      </c>
      <c r="B187">
        <v>793881</v>
      </c>
      <c r="C187">
        <v>3.5078094663914491E-3</v>
      </c>
      <c r="D187">
        <v>9.6226582551054263E-2</v>
      </c>
      <c r="E187">
        <v>186</v>
      </c>
      <c r="F187">
        <v>0.48479827377321261</v>
      </c>
    </row>
    <row r="188" spans="1:6" x14ac:dyDescent="0.35">
      <c r="A188" t="s">
        <v>338</v>
      </c>
      <c r="B188">
        <v>254241</v>
      </c>
      <c r="C188">
        <v>1.245261749622179E-2</v>
      </c>
      <c r="D188">
        <v>1.8896317974240451E-2</v>
      </c>
      <c r="E188">
        <v>187</v>
      </c>
      <c r="F188">
        <v>0.48277470956547308</v>
      </c>
    </row>
    <row r="189" spans="1:6" x14ac:dyDescent="0.35">
      <c r="A189" t="s">
        <v>339</v>
      </c>
      <c r="B189">
        <v>259315</v>
      </c>
      <c r="C189">
        <v>1.8034705023835411E-2</v>
      </c>
      <c r="D189">
        <v>0.2400558322552715</v>
      </c>
      <c r="E189">
        <v>188</v>
      </c>
      <c r="F189">
        <v>0.4826218682386581</v>
      </c>
    </row>
    <row r="190" spans="1:6" x14ac:dyDescent="0.35">
      <c r="A190" t="s">
        <v>340</v>
      </c>
      <c r="B190">
        <v>991508</v>
      </c>
      <c r="C190">
        <v>7.110346773323597E-3</v>
      </c>
      <c r="D190">
        <v>0.1931354635686521</v>
      </c>
      <c r="E190">
        <v>189</v>
      </c>
      <c r="F190">
        <v>0.48226724829842887</v>
      </c>
    </row>
    <row r="191" spans="1:6" x14ac:dyDescent="0.35">
      <c r="A191" t="s">
        <v>341</v>
      </c>
      <c r="B191">
        <v>390670</v>
      </c>
      <c r="C191">
        <v>4.4657591692536983E-2</v>
      </c>
      <c r="D191">
        <v>0.35885791136768319</v>
      </c>
      <c r="E191">
        <v>190</v>
      </c>
      <c r="F191">
        <v>0.48207993500433438</v>
      </c>
    </row>
    <row r="192" spans="1:6" x14ac:dyDescent="0.35">
      <c r="A192" t="s">
        <v>342</v>
      </c>
      <c r="B192">
        <v>537443</v>
      </c>
      <c r="C192">
        <v>1.4149037772345709E-4</v>
      </c>
      <c r="D192">
        <v>2.65508764773447E-2</v>
      </c>
      <c r="E192">
        <v>191</v>
      </c>
      <c r="F192">
        <v>0.48156307973592599</v>
      </c>
    </row>
    <row r="193" spans="1:6" x14ac:dyDescent="0.35">
      <c r="A193" t="s">
        <v>343</v>
      </c>
      <c r="B193">
        <v>266892</v>
      </c>
      <c r="C193">
        <v>3.6326711896700441E-2</v>
      </c>
      <c r="D193">
        <v>8.416234994456058E-2</v>
      </c>
      <c r="E193">
        <v>192</v>
      </c>
      <c r="F193">
        <v>0.48148120289364171</v>
      </c>
    </row>
    <row r="194" spans="1:6" x14ac:dyDescent="0.35">
      <c r="A194" t="s">
        <v>344</v>
      </c>
      <c r="B194">
        <v>650131</v>
      </c>
      <c r="C194">
        <v>1.524706355715811E-3</v>
      </c>
      <c r="D194">
        <v>0.20105552213413719</v>
      </c>
      <c r="E194">
        <v>193</v>
      </c>
      <c r="F194">
        <v>0.48122204838348998</v>
      </c>
    </row>
    <row r="195" spans="1:6" x14ac:dyDescent="0.35">
      <c r="A195" t="s">
        <v>345</v>
      </c>
      <c r="B195">
        <v>270358</v>
      </c>
      <c r="C195">
        <v>8.773239609176392E-3</v>
      </c>
      <c r="D195">
        <v>3.7804321277676488E-2</v>
      </c>
      <c r="E195">
        <v>194</v>
      </c>
      <c r="F195">
        <v>0.48099415954975661</v>
      </c>
    </row>
    <row r="196" spans="1:6" x14ac:dyDescent="0.35">
      <c r="A196" t="s">
        <v>346</v>
      </c>
      <c r="B196">
        <v>319964</v>
      </c>
      <c r="C196">
        <v>4.7289379155733323E-3</v>
      </c>
      <c r="D196">
        <v>0.19226091836279161</v>
      </c>
      <c r="E196">
        <v>195</v>
      </c>
      <c r="F196">
        <v>0.48090791220111218</v>
      </c>
    </row>
    <row r="197" spans="1:6" x14ac:dyDescent="0.35">
      <c r="A197" t="s">
        <v>347</v>
      </c>
      <c r="B197">
        <v>527269</v>
      </c>
      <c r="C197">
        <v>1.0836764860110461E-2</v>
      </c>
      <c r="D197">
        <v>7.5963649355588886E-2</v>
      </c>
      <c r="E197">
        <v>196</v>
      </c>
      <c r="F197">
        <v>0.48039830930829669</v>
      </c>
    </row>
    <row r="198" spans="1:6" x14ac:dyDescent="0.35">
      <c r="A198" t="s">
        <v>348</v>
      </c>
      <c r="B198">
        <v>374574</v>
      </c>
      <c r="C198">
        <v>1.0169976551126321E-2</v>
      </c>
      <c r="D198">
        <v>0.1203889383629089</v>
      </c>
      <c r="E198">
        <v>197</v>
      </c>
      <c r="F198">
        <v>0.47991992269617151</v>
      </c>
    </row>
    <row r="199" spans="1:6" x14ac:dyDescent="0.35">
      <c r="A199" t="s">
        <v>349</v>
      </c>
      <c r="B199">
        <v>307336</v>
      </c>
      <c r="C199">
        <v>1.0387154495790909E-2</v>
      </c>
      <c r="D199">
        <v>0.15861847078105379</v>
      </c>
      <c r="E199">
        <v>198</v>
      </c>
      <c r="F199">
        <v>0.47970010430193061</v>
      </c>
    </row>
    <row r="200" spans="1:6" x14ac:dyDescent="0.35">
      <c r="A200" t="s">
        <v>350</v>
      </c>
      <c r="B200">
        <v>244925</v>
      </c>
      <c r="C200">
        <v>1.946223073030123E-2</v>
      </c>
      <c r="D200">
        <v>0.15289825388498021</v>
      </c>
      <c r="E200">
        <v>199</v>
      </c>
      <c r="F200">
        <v>0.47933284590293401</v>
      </c>
    </row>
    <row r="201" spans="1:6" x14ac:dyDescent="0.35">
      <c r="A201" t="s">
        <v>351</v>
      </c>
      <c r="B201">
        <v>950602</v>
      </c>
      <c r="C201">
        <v>-4.596509907565787E-4</v>
      </c>
      <c r="D201">
        <v>0.22074111514475619</v>
      </c>
      <c r="E201">
        <v>200</v>
      </c>
      <c r="F201">
        <v>0.47703632171139232</v>
      </c>
    </row>
    <row r="202" spans="1:6" x14ac:dyDescent="0.35">
      <c r="A202" t="s">
        <v>352</v>
      </c>
      <c r="B202">
        <v>431874</v>
      </c>
      <c r="C202">
        <v>6.0971270802102507E-3</v>
      </c>
      <c r="D202">
        <v>0.1048225536842045</v>
      </c>
      <c r="E202">
        <v>201</v>
      </c>
      <c r="F202">
        <v>0.4767871697008893</v>
      </c>
    </row>
    <row r="203" spans="1:6" x14ac:dyDescent="0.35">
      <c r="A203" t="s">
        <v>353</v>
      </c>
      <c r="B203">
        <v>502955</v>
      </c>
      <c r="C203">
        <v>2.000148307589942E-3</v>
      </c>
      <c r="D203">
        <v>7.0082800421455219E-2</v>
      </c>
      <c r="E203">
        <v>202</v>
      </c>
      <c r="F203">
        <v>0.47673489785009482</v>
      </c>
    </row>
    <row r="204" spans="1:6" x14ac:dyDescent="0.35">
      <c r="A204" t="s">
        <v>354</v>
      </c>
      <c r="B204">
        <v>249091</v>
      </c>
      <c r="C204">
        <v>1.5895602049530319E-2</v>
      </c>
      <c r="D204">
        <v>5.0010359360422092E-2</v>
      </c>
      <c r="E204">
        <v>203</v>
      </c>
      <c r="F204">
        <v>0.47482740931098161</v>
      </c>
    </row>
    <row r="205" spans="1:6" x14ac:dyDescent="0.35">
      <c r="A205" t="s">
        <v>355</v>
      </c>
      <c r="B205">
        <v>253948</v>
      </c>
      <c r="C205">
        <v>-2.1704167512452571E-3</v>
      </c>
      <c r="D205">
        <v>0</v>
      </c>
      <c r="E205">
        <v>204</v>
      </c>
      <c r="F205">
        <v>0.4746233155446154</v>
      </c>
    </row>
    <row r="206" spans="1:6" x14ac:dyDescent="0.35">
      <c r="A206" t="s">
        <v>356</v>
      </c>
      <c r="B206">
        <v>362701</v>
      </c>
      <c r="C206">
        <v>-1.348096115020841E-2</v>
      </c>
      <c r="D206">
        <v>2.5151184419288521E-2</v>
      </c>
      <c r="E206">
        <v>205</v>
      </c>
      <c r="F206">
        <v>0.47401616799814661</v>
      </c>
    </row>
    <row r="207" spans="1:6" x14ac:dyDescent="0.35">
      <c r="A207" t="s">
        <v>357</v>
      </c>
      <c r="B207">
        <v>602772</v>
      </c>
      <c r="C207">
        <v>2.1151520822237261E-2</v>
      </c>
      <c r="D207">
        <v>0.18904837061722701</v>
      </c>
      <c r="E207">
        <v>206</v>
      </c>
      <c r="F207">
        <v>0.47383363798629902</v>
      </c>
    </row>
    <row r="208" spans="1:6" x14ac:dyDescent="0.35">
      <c r="A208" t="s">
        <v>358</v>
      </c>
      <c r="B208">
        <v>374091</v>
      </c>
      <c r="C208">
        <v>-3.0770093338174667E-4</v>
      </c>
      <c r="D208">
        <v>0</v>
      </c>
      <c r="E208">
        <v>207</v>
      </c>
      <c r="F208">
        <v>0.47352226284382382</v>
      </c>
    </row>
    <row r="209" spans="1:6" x14ac:dyDescent="0.35">
      <c r="A209" t="s">
        <v>359</v>
      </c>
      <c r="B209">
        <v>538370</v>
      </c>
      <c r="C209">
        <v>-6.7844804430983543E-4</v>
      </c>
      <c r="D209">
        <v>3.4886569473925717E-2</v>
      </c>
      <c r="E209">
        <v>208</v>
      </c>
      <c r="F209">
        <v>0.47221608922987779</v>
      </c>
    </row>
    <row r="210" spans="1:6" x14ac:dyDescent="0.35">
      <c r="A210" t="s">
        <v>360</v>
      </c>
      <c r="B210">
        <v>594160</v>
      </c>
      <c r="C210">
        <v>8.9248361455863904E-3</v>
      </c>
      <c r="D210">
        <v>0.1112243536993837</v>
      </c>
      <c r="E210">
        <v>209</v>
      </c>
      <c r="F210">
        <v>0.4705786584505755</v>
      </c>
    </row>
    <row r="211" spans="1:6" x14ac:dyDescent="0.35">
      <c r="A211" t="s">
        <v>361</v>
      </c>
      <c r="B211">
        <v>666434</v>
      </c>
      <c r="C211">
        <v>1.0915286725946429E-2</v>
      </c>
      <c r="D211">
        <v>0.31955368812501322</v>
      </c>
      <c r="E211">
        <v>210</v>
      </c>
      <c r="F211">
        <v>0.46867511748675089</v>
      </c>
    </row>
    <row r="212" spans="1:6" x14ac:dyDescent="0.35">
      <c r="A212" t="s">
        <v>362</v>
      </c>
      <c r="B212">
        <v>411767</v>
      </c>
      <c r="C212">
        <v>6.7145140736713741E-3</v>
      </c>
      <c r="D212">
        <v>8.6603461151336089E-2</v>
      </c>
      <c r="E212">
        <v>211</v>
      </c>
      <c r="F212">
        <v>0.46851030752686401</v>
      </c>
    </row>
    <row r="213" spans="1:6" x14ac:dyDescent="0.35">
      <c r="A213" t="s">
        <v>363</v>
      </c>
      <c r="B213">
        <v>693514</v>
      </c>
      <c r="C213">
        <v>8.500718643582603E-3</v>
      </c>
      <c r="D213">
        <v>3.2728806628220718E-2</v>
      </c>
      <c r="E213">
        <v>212</v>
      </c>
      <c r="F213">
        <v>0.4680473773661401</v>
      </c>
    </row>
    <row r="214" spans="1:6" x14ac:dyDescent="0.35">
      <c r="A214" t="s">
        <v>364</v>
      </c>
      <c r="B214">
        <v>263017</v>
      </c>
      <c r="C214">
        <v>-2.5700943371376752E-3</v>
      </c>
      <c r="D214">
        <v>9.5877641848060354E-3</v>
      </c>
      <c r="E214">
        <v>213</v>
      </c>
      <c r="F214">
        <v>0.46799740878261342</v>
      </c>
    </row>
    <row r="215" spans="1:6" x14ac:dyDescent="0.35">
      <c r="A215" t="s">
        <v>365</v>
      </c>
      <c r="B215">
        <v>327394</v>
      </c>
      <c r="C215">
        <v>1.268012452260984E-2</v>
      </c>
      <c r="D215">
        <v>6.3734269408028274E-2</v>
      </c>
      <c r="E215">
        <v>214</v>
      </c>
      <c r="F215">
        <v>0.46792312908999251</v>
      </c>
    </row>
    <row r="216" spans="1:6" x14ac:dyDescent="0.35">
      <c r="A216" t="s">
        <v>366</v>
      </c>
      <c r="B216">
        <v>206861</v>
      </c>
      <c r="C216">
        <v>-1.1122761474966859E-2</v>
      </c>
      <c r="D216">
        <v>5.2649424933794778E-2</v>
      </c>
      <c r="E216">
        <v>215</v>
      </c>
      <c r="F216">
        <v>0.46674515326867322</v>
      </c>
    </row>
    <row r="217" spans="1:6" x14ac:dyDescent="0.35">
      <c r="A217" t="s">
        <v>367</v>
      </c>
      <c r="B217">
        <v>271134</v>
      </c>
      <c r="C217">
        <v>3.4024152119805237E-2</v>
      </c>
      <c r="D217">
        <v>0.25632616332203478</v>
      </c>
      <c r="E217">
        <v>216</v>
      </c>
      <c r="F217">
        <v>0.46635494921360371</v>
      </c>
    </row>
    <row r="218" spans="1:6" x14ac:dyDescent="0.35">
      <c r="A218" t="s">
        <v>368</v>
      </c>
      <c r="B218">
        <v>201775</v>
      </c>
      <c r="C218">
        <v>1.8562096374894189E-2</v>
      </c>
      <c r="D218">
        <v>0.1824781441632059</v>
      </c>
      <c r="E218">
        <v>217</v>
      </c>
      <c r="F218">
        <v>0.46631068992921532</v>
      </c>
    </row>
    <row r="219" spans="1:6" x14ac:dyDescent="0.35">
      <c r="A219" t="s">
        <v>369</v>
      </c>
      <c r="B219">
        <v>426291</v>
      </c>
      <c r="C219">
        <v>-2.6568338477963192E-3</v>
      </c>
      <c r="D219">
        <v>9.4071712786043177E-2</v>
      </c>
      <c r="E219">
        <v>218</v>
      </c>
      <c r="F219">
        <v>0.46582791108910188</v>
      </c>
    </row>
    <row r="220" spans="1:6" x14ac:dyDescent="0.35">
      <c r="A220" t="s">
        <v>370</v>
      </c>
      <c r="B220">
        <v>276118</v>
      </c>
      <c r="C220">
        <v>1.246858376964346E-2</v>
      </c>
      <c r="D220">
        <v>2.8014543436107049E-2</v>
      </c>
      <c r="E220">
        <v>219</v>
      </c>
      <c r="F220">
        <v>0.46370002669396521</v>
      </c>
    </row>
    <row r="221" spans="1:6" x14ac:dyDescent="0.35">
      <c r="A221" t="s">
        <v>371</v>
      </c>
      <c r="B221">
        <v>458352</v>
      </c>
      <c r="C221">
        <v>3.5297427572676301E-2</v>
      </c>
      <c r="D221">
        <v>0.19468113100036849</v>
      </c>
      <c r="E221">
        <v>220</v>
      </c>
      <c r="F221">
        <v>0.46300192427378611</v>
      </c>
    </row>
    <row r="222" spans="1:6" x14ac:dyDescent="0.35">
      <c r="A222" t="s">
        <v>372</v>
      </c>
      <c r="B222">
        <v>497003</v>
      </c>
      <c r="C222">
        <v>7.32091711313561E-3</v>
      </c>
      <c r="D222">
        <v>0.10058763975764271</v>
      </c>
      <c r="E222">
        <v>221</v>
      </c>
      <c r="F222">
        <v>0.46220952510235269</v>
      </c>
    </row>
    <row r="223" spans="1:6" x14ac:dyDescent="0.35">
      <c r="A223" t="s">
        <v>373</v>
      </c>
      <c r="B223">
        <v>338430</v>
      </c>
      <c r="C223">
        <v>9.1564228413825832E-4</v>
      </c>
      <c r="D223">
        <v>2.385410234652308E-2</v>
      </c>
      <c r="E223">
        <v>222</v>
      </c>
      <c r="F223">
        <v>0.46114254894492479</v>
      </c>
    </row>
    <row r="224" spans="1:6" x14ac:dyDescent="0.35">
      <c r="A224" t="s">
        <v>374</v>
      </c>
      <c r="B224">
        <v>464151</v>
      </c>
      <c r="C224">
        <v>2.3559780381873311E-4</v>
      </c>
      <c r="D224">
        <v>0.22423723095533321</v>
      </c>
      <c r="E224">
        <v>223</v>
      </c>
      <c r="F224">
        <v>0.45821457232959611</v>
      </c>
    </row>
    <row r="225" spans="1:6" x14ac:dyDescent="0.35">
      <c r="A225" t="s">
        <v>375</v>
      </c>
      <c r="B225">
        <v>475515</v>
      </c>
      <c r="C225">
        <v>7.4838529415586948E-3</v>
      </c>
      <c r="D225">
        <v>0.22156314234500751</v>
      </c>
      <c r="E225">
        <v>224</v>
      </c>
      <c r="F225">
        <v>0.4571556621169629</v>
      </c>
    </row>
    <row r="226" spans="1:6" x14ac:dyDescent="0.35">
      <c r="A226" t="s">
        <v>376</v>
      </c>
      <c r="B226">
        <v>277615</v>
      </c>
      <c r="C226">
        <v>1.1894025440837411E-2</v>
      </c>
      <c r="D226">
        <v>4.3184176549103028E-3</v>
      </c>
      <c r="E226">
        <v>225</v>
      </c>
      <c r="F226">
        <v>0.45472074563375448</v>
      </c>
    </row>
    <row r="227" spans="1:6" x14ac:dyDescent="0.35">
      <c r="A227" t="s">
        <v>377</v>
      </c>
      <c r="B227">
        <v>273909</v>
      </c>
      <c r="C227">
        <v>4.5944468817620066E-3</v>
      </c>
      <c r="D227">
        <v>4.1677193926681337E-2</v>
      </c>
      <c r="E227">
        <v>226</v>
      </c>
      <c r="F227">
        <v>0.4541276188563928</v>
      </c>
    </row>
    <row r="228" spans="1:6" x14ac:dyDescent="0.35">
      <c r="A228" t="s">
        <v>378</v>
      </c>
      <c r="B228">
        <v>428905</v>
      </c>
      <c r="C228">
        <v>3.4070136489837442E-2</v>
      </c>
      <c r="D228">
        <v>0.32675535510276482</v>
      </c>
      <c r="E228">
        <v>227</v>
      </c>
      <c r="F228">
        <v>0.4538231037078016</v>
      </c>
    </row>
    <row r="229" spans="1:6" x14ac:dyDescent="0.35">
      <c r="A229" t="s">
        <v>379</v>
      </c>
      <c r="B229">
        <v>535799</v>
      </c>
      <c r="C229">
        <v>1.8812926323647759E-2</v>
      </c>
      <c r="D229">
        <v>0.2135916787101666</v>
      </c>
      <c r="E229">
        <v>228</v>
      </c>
      <c r="F229">
        <v>0.45259677163413209</v>
      </c>
    </row>
    <row r="230" spans="1:6" x14ac:dyDescent="0.35">
      <c r="A230" t="s">
        <v>380</v>
      </c>
      <c r="B230">
        <v>224893</v>
      </c>
      <c r="C230">
        <v>-1.268297933409874E-2</v>
      </c>
      <c r="D230">
        <v>2.1530989185715749E-2</v>
      </c>
      <c r="E230">
        <v>229</v>
      </c>
      <c r="F230">
        <v>0.45234361875157181</v>
      </c>
    </row>
    <row r="231" spans="1:6" x14ac:dyDescent="0.35">
      <c r="A231" t="s">
        <v>381</v>
      </c>
      <c r="B231">
        <v>454808</v>
      </c>
      <c r="C231">
        <v>-2.6459026307831869E-3</v>
      </c>
      <c r="D231">
        <v>5.0906041496263828E-2</v>
      </c>
      <c r="E231">
        <v>230</v>
      </c>
      <c r="F231">
        <v>0.45091868096480769</v>
      </c>
    </row>
    <row r="232" spans="1:6" x14ac:dyDescent="0.35">
      <c r="A232" t="s">
        <v>382</v>
      </c>
      <c r="B232">
        <v>311783</v>
      </c>
      <c r="C232">
        <v>7.6080310666776828E-3</v>
      </c>
      <c r="D232">
        <v>0.25077208943105411</v>
      </c>
      <c r="E232">
        <v>231</v>
      </c>
      <c r="F232">
        <v>0.45057144173154862</v>
      </c>
    </row>
    <row r="233" spans="1:6" x14ac:dyDescent="0.35">
      <c r="A233" t="s">
        <v>383</v>
      </c>
      <c r="B233">
        <v>201830</v>
      </c>
      <c r="C233">
        <v>-6.2616235538487551E-3</v>
      </c>
      <c r="D233">
        <v>0</v>
      </c>
      <c r="E233">
        <v>232</v>
      </c>
      <c r="F233">
        <v>0.45020019474266698</v>
      </c>
    </row>
    <row r="234" spans="1:6" x14ac:dyDescent="0.35">
      <c r="A234" t="s">
        <v>384</v>
      </c>
      <c r="B234">
        <v>231888</v>
      </c>
      <c r="C234">
        <v>5.4429007653769394E-3</v>
      </c>
      <c r="D234">
        <v>6.8474313958071839E-2</v>
      </c>
      <c r="E234">
        <v>233</v>
      </c>
      <c r="F234">
        <v>0.44989100972265178</v>
      </c>
    </row>
    <row r="235" spans="1:6" x14ac:dyDescent="0.35">
      <c r="A235" t="s">
        <v>385</v>
      </c>
      <c r="B235">
        <v>578533</v>
      </c>
      <c r="C235">
        <v>-1.9874170266252151E-3</v>
      </c>
      <c r="D235">
        <v>3.2677203891097739E-2</v>
      </c>
      <c r="E235">
        <v>234</v>
      </c>
      <c r="F235">
        <v>0.44936985232429311</v>
      </c>
    </row>
    <row r="236" spans="1:6" x14ac:dyDescent="0.35">
      <c r="A236" t="s">
        <v>386</v>
      </c>
      <c r="B236">
        <v>240360</v>
      </c>
      <c r="C236">
        <v>4.822718193807753E-3</v>
      </c>
      <c r="D236">
        <v>0.20123212736521001</v>
      </c>
      <c r="E236">
        <v>235</v>
      </c>
      <c r="F236">
        <v>0.44832237041639927</v>
      </c>
    </row>
    <row r="237" spans="1:6" x14ac:dyDescent="0.35">
      <c r="A237" t="s">
        <v>387</v>
      </c>
      <c r="B237">
        <v>226479</v>
      </c>
      <c r="C237">
        <v>1.436455575632783E-2</v>
      </c>
      <c r="D237">
        <v>4.7247966543212061E-2</v>
      </c>
      <c r="E237">
        <v>236</v>
      </c>
      <c r="F237">
        <v>0.4401200807362301</v>
      </c>
    </row>
    <row r="238" spans="1:6" x14ac:dyDescent="0.35">
      <c r="A238" t="s">
        <v>388</v>
      </c>
      <c r="B238">
        <v>1573916</v>
      </c>
      <c r="C238">
        <v>-4.1966831335567244E-3</v>
      </c>
      <c r="D238">
        <v>0.1269833622919424</v>
      </c>
      <c r="E238">
        <v>237</v>
      </c>
      <c r="F238">
        <v>0.43709827672778279</v>
      </c>
    </row>
    <row r="239" spans="1:6" x14ac:dyDescent="0.35">
      <c r="A239" t="s">
        <v>389</v>
      </c>
      <c r="B239">
        <v>279695</v>
      </c>
      <c r="C239">
        <v>-1.716530975808734E-2</v>
      </c>
      <c r="D239">
        <v>0</v>
      </c>
      <c r="E239">
        <v>238</v>
      </c>
      <c r="F239">
        <v>0.43658143935624522</v>
      </c>
    </row>
    <row r="240" spans="1:6" x14ac:dyDescent="0.35">
      <c r="A240" t="s">
        <v>390</v>
      </c>
      <c r="B240">
        <v>213730</v>
      </c>
      <c r="C240">
        <v>5.8598893863576508E-3</v>
      </c>
      <c r="D240">
        <v>1.827791816249498E-2</v>
      </c>
      <c r="E240">
        <v>239</v>
      </c>
      <c r="F240">
        <v>0.43436289546788459</v>
      </c>
    </row>
    <row r="241" spans="1:6" x14ac:dyDescent="0.35">
      <c r="A241" t="s">
        <v>391</v>
      </c>
      <c r="B241">
        <v>658447</v>
      </c>
      <c r="C241">
        <v>2.0390790286337529E-2</v>
      </c>
      <c r="D241">
        <v>0.2265399218123407</v>
      </c>
      <c r="E241">
        <v>240</v>
      </c>
      <c r="F241">
        <v>0.4332148823617506</v>
      </c>
    </row>
    <row r="242" spans="1:6" x14ac:dyDescent="0.35">
      <c r="A242" t="s">
        <v>392</v>
      </c>
      <c r="B242">
        <v>231105</v>
      </c>
      <c r="C242">
        <v>-7.0517591553026964E-3</v>
      </c>
      <c r="D242">
        <v>4.9119018195636757E-2</v>
      </c>
      <c r="E242">
        <v>241</v>
      </c>
      <c r="F242">
        <v>0.43204169091026873</v>
      </c>
    </row>
    <row r="243" spans="1:6" x14ac:dyDescent="0.35">
      <c r="A243" t="s">
        <v>393</v>
      </c>
      <c r="B243">
        <v>412339</v>
      </c>
      <c r="C243">
        <v>-1.2487663154033819E-3</v>
      </c>
      <c r="D243">
        <v>1.9319532564565679E-2</v>
      </c>
      <c r="E243">
        <v>242</v>
      </c>
      <c r="F243">
        <v>0.42571088994435952</v>
      </c>
    </row>
    <row r="244" spans="1:6" x14ac:dyDescent="0.35">
      <c r="A244" t="s">
        <v>394</v>
      </c>
      <c r="B244">
        <v>220143</v>
      </c>
      <c r="C244">
        <v>9.2809392122037287E-3</v>
      </c>
      <c r="D244">
        <v>0.14027452000533391</v>
      </c>
      <c r="E244">
        <v>243</v>
      </c>
      <c r="F244">
        <v>0.42029389796515543</v>
      </c>
    </row>
    <row r="245" spans="1:6" x14ac:dyDescent="0.35">
      <c r="A245" t="s">
        <v>395</v>
      </c>
      <c r="B245">
        <v>279114</v>
      </c>
      <c r="C245">
        <v>4.4840187311266386E-3</v>
      </c>
      <c r="D245">
        <v>0.27673793110284572</v>
      </c>
      <c r="E245">
        <v>244</v>
      </c>
      <c r="F245">
        <v>0.41917456075506299</v>
      </c>
    </row>
    <row r="246" spans="1:6" x14ac:dyDescent="0.35">
      <c r="A246" t="s">
        <v>396</v>
      </c>
      <c r="B246">
        <v>335666</v>
      </c>
      <c r="C246">
        <v>8.6845747648714392E-3</v>
      </c>
      <c r="D246">
        <v>0.78170517077987756</v>
      </c>
      <c r="E246">
        <v>245</v>
      </c>
      <c r="F246">
        <v>0.41095154918823318</v>
      </c>
    </row>
    <row r="247" spans="1:6" x14ac:dyDescent="0.35">
      <c r="A247" t="s">
        <v>397</v>
      </c>
      <c r="B247">
        <v>261608</v>
      </c>
      <c r="C247">
        <v>3.0401639484831339E-2</v>
      </c>
      <c r="D247">
        <v>4.5420506605518267E-2</v>
      </c>
      <c r="E247">
        <v>246</v>
      </c>
      <c r="F247">
        <v>0.40712221921047842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Instructions</vt:lpstr>
      <vt:lpstr>Dashboard</vt:lpstr>
      <vt:lpstr>Deals</vt:lpstr>
      <vt:lpstr>Scores</vt:lpstr>
      <vt:lpstr>Ranking</vt:lpstr>
      <vt:lpstr>Market Ranking</vt:lpstr>
      <vt:lpstr>Market Data</vt:lpstr>
      <vt:lpstr>DealNames</vt:lpstr>
      <vt:lpstr>MarketCounties</vt:lpstr>
      <vt:lpstr>MarketTable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Elias Chamoun</cp:lastModifiedBy>
  <dcterms:created xsi:type="dcterms:W3CDTF">2026-06-25T16:42:30Z</dcterms:created>
  <dcterms:modified xsi:type="dcterms:W3CDTF">2026-06-25T18:45:58Z</dcterms:modified>
</cp:coreProperties>
</file>