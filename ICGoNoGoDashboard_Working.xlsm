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600" firstSheet="0" activeTab="1" autoFilterDateGrouping="1"/>
  </bookViews>
  <sheets>
    <sheet name="Instructions" sheetId="1" state="visible" r:id="rId1"/>
    <sheet name="Dashboard" sheetId="2" state="visible" r:id="rId2"/>
    <sheet name="Deals" sheetId="3" state="visible" r:id="rId3"/>
    <sheet name="Scores" sheetId="4" state="visible" r:id="rId4"/>
    <sheet name="Ranking" sheetId="5" state="visible" r:id="rId5"/>
    <sheet name="Market Ranking" sheetId="6" state="visible" r:id="rId6"/>
    <sheet name="Market Data" sheetId="7" state="hidden" r:id="rId7"/>
  </sheets>
  <definedNames>
    <definedName name="DealNames">Deals!$B$1:$L$1</definedName>
    <definedName name="MarketCounties">'Market Data'!$A$2:$A$247</definedName>
    <definedName name="MarketTable">'Market Data'!$A$2:$F$247</definedName>
  </definedNames>
  <calcPr calcId="191029" fullCalcOnLoad="1"/>
</workbook>
</file>

<file path=xl/styles.xml><?xml version="1.0" encoding="utf-8"?>
<styleSheet xmlns="http://schemas.openxmlformats.org/spreadsheetml/2006/main">
  <numFmts count="8">
    <numFmt numFmtId="164" formatCode="\$#,##0"/>
    <numFmt numFmtId="165" formatCode="0.0%"/>
    <numFmt numFmtId="166" formatCode="0.000"/>
    <numFmt numFmtId="167" formatCode="mmmm\ yyyy"/>
    <numFmt numFmtId="168" formatCode="&quot;$&quot;#,##0"/>
    <numFmt numFmtId="169" formatCode="&quot;$&quot;#,##0.00"/>
    <numFmt numFmtId="170" formatCode="0_);\(0\)"/>
    <numFmt numFmtId="171" formatCode="$#,##0"/>
  </numFmts>
  <fonts count="22">
    <font>
      <name val="Calibri"/>
      <family val="2"/>
      <color theme="1"/>
      <sz val="11"/>
      <scheme val="minor"/>
    </font>
    <font>
      <name val="Calibri"/>
      <b val="1"/>
      <sz val="11"/>
    </font>
    <font>
      <name val="Calibri"/>
      <b val="1"/>
      <color rgb="FFFFFFFF"/>
      <sz val="11"/>
    </font>
    <font>
      <name val="Calibri"/>
      <b val="1"/>
      <color rgb="FFFFFFFF"/>
      <sz val="16"/>
    </font>
    <font>
      <name val="Calibri"/>
      <b val="1"/>
      <sz val="12"/>
    </font>
    <font>
      <name val="Calibri"/>
      <color rgb="FFFFFFFF"/>
      <sz val="11"/>
    </font>
    <font>
      <name val="Calibri"/>
      <b val="1"/>
      <sz val="14"/>
    </font>
    <font>
      <name val="Calibri"/>
      <family val="2"/>
      <color theme="0"/>
      <sz val="11"/>
      <scheme val="minor"/>
    </font>
    <font>
      <name val="Tahoma"/>
      <charset val="1"/>
      <color indexed="81"/>
      <sz val="9"/>
    </font>
    <font>
      <name val="Tahoma"/>
      <charset val="1"/>
      <b val="1"/>
      <color indexed="81"/>
      <sz val="9"/>
    </font>
    <font>
      <name val="Calibri"/>
      <family val="2"/>
      <b val="1"/>
      <sz val="11"/>
    </font>
    <font>
      <name val="Calibri"/>
      <family val="2"/>
      <color rgb="FF0000FF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Verdana"/>
      <family val="2"/>
      <sz val="8"/>
    </font>
    <font>
      <name val="Verdana"/>
      <family val="2"/>
      <b val="1"/>
      <sz val="7"/>
    </font>
    <font>
      <name val="Verdana"/>
      <family val="2"/>
      <sz val="7"/>
    </font>
    <font>
      <name val="Verdana"/>
      <family val="2"/>
      <sz val="6"/>
    </font>
    <font>
      <b val="1"/>
    </font>
    <font>
      <b val="1"/>
      <color rgb="00FFFFFF"/>
    </font>
  </fonts>
  <fills count="13">
    <fill>
      <patternFill/>
    </fill>
    <fill>
      <patternFill patternType="gray125"/>
    </fill>
    <fill>
      <patternFill patternType="solid">
        <fgColor rgb="FF1F3A5F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001F3A5F"/>
      </patternFill>
    </fill>
  </fills>
  <borders count="2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"/>
      </left>
      <right style="thin">
        <color theme="0" tint="-0.249946592608417"/>
      </right>
      <top style="medium">
        <color indexed="64"/>
      </top>
      <bottom style="thin">
        <color theme="0" tint="-0.3499862666707358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249946592608417"/>
      </left>
      <right style="thin">
        <color theme="0" tint="-0.249946592608417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0" tint="-0.249946592608417"/>
      </left>
      <right style="thin">
        <color theme="0" tint="-0.249946592608417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indexed="64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double">
        <color indexed="8"/>
      </top>
      <bottom/>
      <diagonal/>
    </border>
  </borders>
  <cellStyleXfs count="3">
    <xf numFmtId="0" fontId="13" fillId="0" borderId="0"/>
    <xf numFmtId="43" fontId="13" fillId="0" borderId="0"/>
    <xf numFmtId="9" fontId="13" fillId="0" borderId="0"/>
  </cellStyleXfs>
  <cellXfs count="120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3" borderId="1" applyAlignment="1" pivotButton="0" quotePrefix="0" xfId="0">
      <alignment horizontal="left" vertical="center" wrapText="1"/>
    </xf>
    <xf numFmtId="0" fontId="4" fillId="4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3" fontId="0" fillId="0" borderId="1" applyAlignment="1" pivotButton="0" quotePrefix="0" xfId="0">
      <alignment horizontal="center" vertical="center"/>
    </xf>
    <xf numFmtId="1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 wrapText="1"/>
    </xf>
    <xf numFmtId="166" fontId="0" fillId="0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2" applyAlignment="1" pivotButton="0" quotePrefix="0" xfId="0">
      <alignment horizontal="left" vertical="center" wrapText="1"/>
    </xf>
    <xf numFmtId="0" fontId="0" fillId="0" borderId="2" applyAlignment="1" pivotButton="0" quotePrefix="0" xfId="0">
      <alignment horizontal="center" vertical="center"/>
    </xf>
    <xf numFmtId="0" fontId="1" fillId="0" borderId="2" applyAlignment="1" pivotButton="0" quotePrefix="0" xfId="0">
      <alignment horizontal="center" vertical="center"/>
    </xf>
    <xf numFmtId="0" fontId="1" fillId="3" borderId="2" applyAlignment="1" pivotButton="0" quotePrefix="0" xfId="0">
      <alignment horizontal="left" vertical="center" wrapText="1"/>
    </xf>
    <xf numFmtId="164" fontId="0" fillId="0" borderId="2" applyAlignment="1" pivotButton="0" quotePrefix="0" xfId="0">
      <alignment horizontal="center" vertical="center"/>
    </xf>
    <xf numFmtId="165" fontId="0" fillId="0" borderId="2" applyAlignment="1" pivotButton="0" quotePrefix="0" xfId="0">
      <alignment horizontal="center" vertical="center"/>
    </xf>
    <xf numFmtId="3" fontId="0" fillId="0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7" fillId="5" borderId="4" pivotButton="0" quotePrefix="0" xfId="0"/>
    <xf numFmtId="0" fontId="7" fillId="5" borderId="5" pivotButton="0" quotePrefix="0" xfId="0"/>
    <xf numFmtId="0" fontId="7" fillId="5" borderId="6" pivotButton="0" quotePrefix="0" xfId="0"/>
    <xf numFmtId="0" fontId="2" fillId="2" borderId="2" applyAlignment="1" pivotButton="0" quotePrefix="0" xfId="0">
      <alignment horizontal="left" vertical="center" wrapText="1"/>
    </xf>
    <xf numFmtId="0" fontId="12" fillId="6" borderId="2" applyAlignment="1" pivotButton="0" quotePrefix="0" xfId="0">
      <alignment horizontal="center" vertical="center"/>
    </xf>
    <xf numFmtId="0" fontId="12" fillId="0" borderId="2" applyAlignment="1" pivotButton="0" quotePrefix="0" xfId="0">
      <alignment horizontal="center" vertical="center"/>
    </xf>
    <xf numFmtId="1" fontId="12" fillId="6" borderId="2" applyAlignment="1" pivotButton="0" quotePrefix="0" xfId="0">
      <alignment horizontal="center" vertical="center"/>
    </xf>
    <xf numFmtId="1" fontId="0" fillId="0" borderId="2" applyAlignment="1" pivotButton="0" quotePrefix="0" xfId="0">
      <alignment horizontal="center" vertical="center"/>
    </xf>
    <xf numFmtId="1" fontId="12" fillId="0" borderId="2" applyAlignment="1" pivotButton="0" quotePrefix="0" xfId="0">
      <alignment horizontal="center" vertical="center"/>
    </xf>
    <xf numFmtId="164" fontId="12" fillId="6" borderId="2" applyAlignment="1" pivotButton="0" quotePrefix="0" xfId="0">
      <alignment horizontal="center" vertical="center"/>
    </xf>
    <xf numFmtId="164" fontId="12" fillId="0" borderId="2" applyAlignment="1" pivotButton="0" quotePrefix="0" xfId="0">
      <alignment horizontal="center" vertical="center"/>
    </xf>
    <xf numFmtId="165" fontId="12" fillId="6" borderId="2" applyAlignment="1" pivotButton="0" quotePrefix="0" xfId="0">
      <alignment horizontal="center" vertical="center"/>
    </xf>
    <xf numFmtId="165" fontId="12" fillId="0" borderId="2" applyAlignment="1" pivotButton="0" quotePrefix="0" xfId="0">
      <alignment horizontal="center" vertical="center"/>
    </xf>
    <xf numFmtId="3" fontId="12" fillId="6" borderId="2" applyAlignment="1" pivotButton="0" quotePrefix="0" xfId="0">
      <alignment horizontal="center" vertical="center"/>
    </xf>
    <xf numFmtId="3" fontId="12" fillId="0" borderId="2" applyAlignment="1" pivotButton="0" quotePrefix="0" xfId="0">
      <alignment horizontal="center" vertical="center"/>
    </xf>
    <xf numFmtId="4" fontId="12" fillId="6" borderId="2" applyAlignment="1" pivotButton="0" quotePrefix="0" xfId="0">
      <alignment horizontal="center" vertical="center"/>
    </xf>
    <xf numFmtId="4" fontId="0" fillId="0" borderId="2" applyAlignment="1" pivotButton="0" quotePrefix="0" xfId="0">
      <alignment horizontal="center" vertical="center"/>
    </xf>
    <xf numFmtId="4" fontId="12" fillId="0" borderId="2" applyAlignment="1" pivotButton="0" quotePrefix="0" xfId="0">
      <alignment horizontal="center" vertical="center"/>
    </xf>
    <xf numFmtId="0" fontId="10" fillId="0" borderId="0" pivotButton="0" quotePrefix="0" xfId="0"/>
    <xf numFmtId="0" fontId="11" fillId="0" borderId="2" applyAlignment="1" pivotButton="0" quotePrefix="0" xfId="0">
      <alignment horizontal="center" vertical="center"/>
    </xf>
    <xf numFmtId="164" fontId="11" fillId="0" borderId="2" applyAlignment="1" pivotButton="0" quotePrefix="0" xfId="0">
      <alignment horizontal="center" vertical="center"/>
    </xf>
    <xf numFmtId="165" fontId="11" fillId="0" borderId="2" applyAlignment="1" pivotButton="0" quotePrefix="0" xfId="0">
      <alignment horizontal="center" vertical="center"/>
    </xf>
    <xf numFmtId="3" fontId="11" fillId="0" borderId="2" applyAlignment="1" pivotButton="0" quotePrefix="0" xfId="0">
      <alignment horizontal="center" vertical="center"/>
    </xf>
    <xf numFmtId="0" fontId="3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8" borderId="11" pivotButton="0" quotePrefix="0" xfId="0"/>
    <xf numFmtId="0" fontId="0" fillId="8" borderId="12" pivotButton="0" quotePrefix="0" xfId="0"/>
    <xf numFmtId="167" fontId="14" fillId="7" borderId="13" applyAlignment="1" pivotButton="0" quotePrefix="0" xfId="0">
      <alignment horizontal="center"/>
    </xf>
    <xf numFmtId="167" fontId="14" fillId="7" borderId="14" applyAlignment="1" pivotButton="0" quotePrefix="0" xfId="0">
      <alignment horizontal="center"/>
    </xf>
    <xf numFmtId="168" fontId="0" fillId="9" borderId="15" pivotButton="0" quotePrefix="0" xfId="0"/>
    <xf numFmtId="168" fontId="0" fillId="9" borderId="16" pivotButton="0" quotePrefix="0" xfId="0"/>
    <xf numFmtId="168" fontId="14" fillId="10" borderId="17" pivotButton="0" quotePrefix="0" xfId="0"/>
    <xf numFmtId="168" fontId="14" fillId="10" borderId="18" pivotButton="0" quotePrefix="0" xfId="0"/>
    <xf numFmtId="168" fontId="14" fillId="11" borderId="17" pivotButton="0" quotePrefix="0" xfId="0"/>
    <xf numFmtId="168" fontId="14" fillId="11" borderId="18" pivotButton="0" quotePrefix="0" xfId="0"/>
    <xf numFmtId="168" fontId="0" fillId="7" borderId="17" pivotButton="0" quotePrefix="0" xfId="0"/>
    <xf numFmtId="168" fontId="0" fillId="7" borderId="18" pivotButton="0" quotePrefix="0" xfId="0"/>
    <xf numFmtId="168" fontId="0" fillId="0" borderId="15" pivotButton="0" quotePrefix="0" xfId="0"/>
    <xf numFmtId="168" fontId="0" fillId="0" borderId="16" pivotButton="0" quotePrefix="0" xfId="0"/>
    <xf numFmtId="10" fontId="0" fillId="0" borderId="15" pivotButton="0" quotePrefix="0" xfId="2"/>
    <xf numFmtId="10" fontId="0" fillId="0" borderId="16" pivotButton="0" quotePrefix="0" xfId="2"/>
    <xf numFmtId="168" fontId="0" fillId="7" borderId="17" applyAlignment="1" pivotButton="0" quotePrefix="0" xfId="0">
      <alignment horizontal="left" vertical="center" indent="1"/>
    </xf>
    <xf numFmtId="168" fontId="0" fillId="7" borderId="18" applyAlignment="1" pivotButton="0" quotePrefix="0" xfId="0">
      <alignment horizontal="left" vertical="center" indent="1"/>
    </xf>
    <xf numFmtId="2" fontId="0" fillId="0" borderId="15" pivotButton="0" quotePrefix="0" xfId="0"/>
    <xf numFmtId="2" fontId="0" fillId="0" borderId="16" pivotButton="0" quotePrefix="0" xfId="0"/>
    <xf numFmtId="3" fontId="0" fillId="0" borderId="15" pivotButton="0" quotePrefix="0" xfId="0"/>
    <xf numFmtId="3" fontId="0" fillId="0" borderId="16" pivotButton="0" quotePrefix="0" xfId="0"/>
    <xf numFmtId="169" fontId="0" fillId="0" borderId="15" pivotButton="0" quotePrefix="0" xfId="0"/>
    <xf numFmtId="169" fontId="0" fillId="0" borderId="16" pivotButton="0" quotePrefix="0" xfId="0"/>
    <xf numFmtId="168" fontId="0" fillId="0" borderId="15" pivotButton="0" quotePrefix="0" xfId="2"/>
    <xf numFmtId="168" fontId="0" fillId="0" borderId="16" pivotButton="0" quotePrefix="0" xfId="2"/>
    <xf numFmtId="10" fontId="0" fillId="0" borderId="19" pivotButton="0" quotePrefix="0" xfId="2"/>
    <xf numFmtId="10" fontId="0" fillId="0" borderId="20" pivotButton="0" quotePrefix="0" xfId="2"/>
    <xf numFmtId="168" fontId="0" fillId="0" borderId="0" pivotButton="0" quotePrefix="0" xfId="0"/>
    <xf numFmtId="167" fontId="14" fillId="0" borderId="0" applyAlignment="1" pivotButton="0" quotePrefix="0" xfId="0">
      <alignment horizontal="center"/>
    </xf>
    <xf numFmtId="10" fontId="0" fillId="0" borderId="0" pivotButton="0" quotePrefix="0" xfId="2"/>
    <xf numFmtId="2" fontId="0" fillId="0" borderId="0" pivotButton="0" quotePrefix="0" xfId="2"/>
    <xf numFmtId="3" fontId="0" fillId="0" borderId="0" pivotButton="0" quotePrefix="0" xfId="0"/>
    <xf numFmtId="169" fontId="0" fillId="0" borderId="0" pivotButton="0" quotePrefix="0" xfId="0"/>
    <xf numFmtId="43" fontId="16" fillId="0" borderId="0" applyAlignment="1" pivotButton="0" quotePrefix="0" xfId="1">
      <alignment horizontal="left" vertical="top"/>
    </xf>
    <xf numFmtId="43" fontId="17" fillId="0" borderId="0" applyAlignment="1" pivotButton="0" quotePrefix="0" xfId="1">
      <alignment horizontal="left" vertical="top"/>
    </xf>
    <xf numFmtId="43" fontId="17" fillId="0" borderId="0" applyAlignment="1" pivotButton="0" quotePrefix="0" xfId="1">
      <alignment horizontal="right"/>
    </xf>
    <xf numFmtId="43" fontId="17" fillId="0" borderId="0" applyAlignment="1" pivotButton="0" quotePrefix="0" xfId="1">
      <alignment horizontal="right" vertical="top"/>
    </xf>
    <xf numFmtId="43" fontId="17" fillId="0" borderId="0" applyAlignment="1" pivotButton="0" quotePrefix="0" xfId="1">
      <alignment vertical="top"/>
    </xf>
    <xf numFmtId="3" fontId="17" fillId="0" borderId="0" applyAlignment="1" pivotButton="0" quotePrefix="0" xfId="1">
      <alignment horizontal="right" vertical="top"/>
    </xf>
    <xf numFmtId="1" fontId="17" fillId="0" borderId="0" applyAlignment="1" pivotButton="0" quotePrefix="0" xfId="1">
      <alignment horizontal="right" vertical="top"/>
    </xf>
    <xf numFmtId="10" fontId="17" fillId="0" borderId="0" applyAlignment="1" pivotButton="0" quotePrefix="0" xfId="1">
      <alignment horizontal="right" vertical="top"/>
    </xf>
    <xf numFmtId="2" fontId="17" fillId="0" borderId="0" applyAlignment="1" pivotButton="0" quotePrefix="0" xfId="1">
      <alignment horizontal="right" vertical="top"/>
    </xf>
    <xf numFmtId="3" fontId="18" fillId="0" borderId="0" applyAlignment="1" pivotButton="0" quotePrefix="0" xfId="1">
      <alignment horizontal="right" vertical="top"/>
    </xf>
    <xf numFmtId="10" fontId="18" fillId="0" borderId="0" applyAlignment="1" pivotButton="0" quotePrefix="0" xfId="1">
      <alignment horizontal="right" vertical="top"/>
    </xf>
    <xf numFmtId="43" fontId="18" fillId="0" borderId="0" applyAlignment="1" pivotButton="0" quotePrefix="0" xfId="1">
      <alignment vertical="top"/>
    </xf>
    <xf numFmtId="1" fontId="18" fillId="0" borderId="0" applyAlignment="1" pivotButton="0" quotePrefix="0" xfId="1">
      <alignment horizontal="right" vertical="top"/>
    </xf>
    <xf numFmtId="43" fontId="18" fillId="0" borderId="21" applyAlignment="1" pivotButton="0" quotePrefix="0" xfId="1">
      <alignment horizontal="right" vertical="top"/>
    </xf>
    <xf numFmtId="43" fontId="18" fillId="0" borderId="21" applyAlignment="1" pivotButton="0" quotePrefix="0" xfId="1">
      <alignment vertical="top"/>
    </xf>
    <xf numFmtId="37" fontId="17" fillId="0" borderId="0" applyAlignment="1" pivotButton="0" quotePrefix="0" xfId="1">
      <alignment horizontal="right" vertical="top"/>
    </xf>
    <xf numFmtId="43" fontId="18" fillId="0" borderId="0" applyAlignment="1" pivotButton="0" quotePrefix="0" xfId="1">
      <alignment horizontal="right" vertical="top"/>
    </xf>
    <xf numFmtId="43" fontId="19" fillId="0" borderId="0" applyAlignment="1" pivotButton="0" quotePrefix="0" xfId="1">
      <alignment horizontal="left" vertical="top"/>
    </xf>
    <xf numFmtId="43" fontId="17" fillId="0" borderId="22" applyAlignment="1" pivotButton="0" quotePrefix="0" xfId="1">
      <alignment horizontal="right" vertical="top"/>
    </xf>
    <xf numFmtId="43" fontId="17" fillId="0" borderId="22" applyAlignment="1" pivotButton="0" quotePrefix="0" xfId="1">
      <alignment vertical="top"/>
    </xf>
    <xf numFmtId="170" fontId="18" fillId="0" borderId="0" applyAlignment="1" pivotButton="0" quotePrefix="0" xfId="1">
      <alignment horizontal="right" vertical="top"/>
    </xf>
    <xf numFmtId="43" fontId="17" fillId="0" borderId="21" applyAlignment="1" pivotButton="0" quotePrefix="0" xfId="1">
      <alignment horizontal="right" vertical="top"/>
    </xf>
    <xf numFmtId="43" fontId="17" fillId="0" borderId="21" applyAlignment="1" pivotButton="0" quotePrefix="0" xfId="1">
      <alignment vertical="top"/>
    </xf>
    <xf numFmtId="2" fontId="18" fillId="0" borderId="0" applyAlignment="1" pivotButton="0" quotePrefix="0" xfId="1">
      <alignment horizontal="right" vertical="top"/>
    </xf>
    <xf numFmtId="37" fontId="18" fillId="0" borderId="0" applyAlignment="1" pivotButton="0" quotePrefix="0" xfId="1">
      <alignment horizontal="right" vertical="top"/>
    </xf>
    <xf numFmtId="0" fontId="21" fillId="12" borderId="0" pivotButton="0" quotePrefix="0" xfId="0"/>
    <xf numFmtId="0" fontId="20" fillId="0" borderId="0" pivotButton="0" quotePrefix="0" xfId="0"/>
    <xf numFmtId="165" fontId="0" fillId="0" borderId="0" pivotButton="0" quotePrefix="0" xfId="0"/>
    <xf numFmtId="171" fontId="0" fillId="0" borderId="0" pivotButton="0" quotePrefix="0" xfId="0"/>
    <xf numFmtId="43" fontId="20" fillId="0" borderId="0" applyAlignment="1" pivotButton="0" quotePrefix="0" xfId="1">
      <alignment horizontal="left" vertical="top"/>
    </xf>
  </cellXfs>
  <cellStyles count="3">
    <cellStyle name="Normal" xfId="0" builtinId="0"/>
    <cellStyle name="Comma" xfId="1" builtinId="3"/>
    <cellStyle name="Percent" xfId="2" builtinId="5"/>
  </cellStyles>
  <dxfs count="46"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alignment horizontal="general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font>
        <name val="Verdana"/>
        <family val="2"/>
        <color auto="1"/>
        <sz val="7"/>
      </font>
      <numFmt numFmtId="14" formatCode="0.00%"/>
      <alignment horizontal="right" vertical="top"/>
    </dxf>
    <dxf>
      <font>
        <name val="Verdana"/>
        <family val="2"/>
        <color auto="1"/>
        <sz val="7"/>
      </font>
      <numFmt numFmtId="3" formatCode="#,##0"/>
      <alignment horizontal="right" vertical="top"/>
    </dxf>
    <dxf>
      <font>
        <name val="Verdana"/>
        <family val="2"/>
        <color auto="1"/>
        <sz val="7"/>
      </font>
      <numFmt numFmtId="14" formatCode="0.00%"/>
      <alignment horizontal="right" vertical="top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  <alignment horizontal="left" vertical="bottom" indent="1"/>
    </dxf>
    <dxf>
      <numFmt numFmtId="168" formatCode="&quot;$&quot;#,##0"/>
      <alignment horizontal="left" vertical="bottom" indent="1"/>
    </dxf>
    <dxf>
      <numFmt numFmtId="168" formatCode="&quot;$&quot;#,##0"/>
      <alignment horizontal="left" vertical="bottom" indent="1"/>
    </dxf>
    <dxf>
      <numFmt numFmtId="168" formatCode="&quot;$&quot;#,##0"/>
    </dxf>
    <dxf>
      <alignment horizontal="center" vertical="bottom"/>
    </dxf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9C6500"/>
      </font>
      <fill>
        <patternFill patternType="solid">
          <fgColor rgb="FFFFEB9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9C6500"/>
      </font>
      <fill>
        <patternFill patternType="solid">
          <fgColor rgb="FFFFEB9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C6EFCE"/>
        </patternFill>
      </fill>
    </dxf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9C6500"/>
      </font>
      <fill>
        <patternFill patternType="solid">
          <fgColor rgb="FFFFEB9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ont>
        <b val="1"/>
        <color rgb="00006100"/>
      </font>
      <fill>
        <patternFill patternType="solid">
          <fgColor rgb="00C6EFCE"/>
        </patternFill>
      </fill>
    </dxf>
    <dxf>
      <font>
        <b val="1"/>
        <color rgb="009C0006"/>
      </font>
      <fill>
        <patternFill patternType="solid">
          <fgColor rgb="00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Elias Chamoun</author>
  </authors>
  <commentList>
    <comment ref="H3" authorId="0" shapeId="0">
      <text>
        <t>Elias Chamoun:
ASSUMPTION — property location/market not provided in source file. Market stats below are placeholder core-market assumptions.</t>
      </text>
    </comment>
    <comment ref="I3" authorId="0" shapeId="0">
      <text>
        <t>Elias Chamoun:
ASSUMPTION — property location/market not stated in pro forma. Market stats below are placeholder core-market assumptions.</t>
      </text>
    </comment>
    <comment ref="H5" authorId="0" shapeId="0">
      <text>
        <t>Elias Chamoun:
Derived = NOI / assumed going-in cap.</t>
      </text>
    </comment>
    <comment ref="I5" authorId="0" shapeId="0">
      <text>
        <t>Elias Chamoun:
Derived = NOI / assumed going-in cap.</t>
      </text>
    </comment>
    <comment ref="H7" authorId="0" shapeId="0">
      <text>
        <t>Elias Chamoun:
ASSUMPTION — all-equity capitalization (matches Springfield DST archetype). No debt in source file.</t>
      </text>
    </comment>
    <comment ref="I7" authorId="0" shapeId="0">
      <text>
        <t>Elias Chamoun:
ASSUMPTION — loan balance implied by pro forma debt service ($696,636/yr) at ~6% / 30-yr amort. Balance not stated; does not affect score.</t>
      </text>
    </comment>
    <comment ref="H9" authorId="0" shapeId="0">
      <text>
        <t>Elias Chamoun:
ASSUMPTION — going-in cap, anchored to Springfield DST comp (7.0%). Not in source file.</t>
      </text>
    </comment>
    <comment ref="I9" authorId="0" shapeId="0">
      <text>
        <t>Elias Chamoun:
ASSUMPTION — going-in cap, anchored to Springfield DST comp (7.0%). Purchase price not in pro forma.</t>
      </text>
    </comment>
    <comment ref="H10" authorId="0" shapeId="0">
      <text>
        <t>Elias Chamoun:
ASSUMPTION — exit cap held flat to going-in (conservative). Not in source file.</t>
      </text>
    </comment>
    <comment ref="I10" authorId="0" shapeId="0">
      <text>
        <t>Elias Chamoun:
ASSUMPTION — exit cap held flat to going-in (conservative). Not in pro forma.</t>
      </text>
    </comment>
    <comment ref="H11" authorId="0" shapeId="0">
      <text>
        <t>Elias Chamoun:
REAL — FY2025 Net Operating Income from Armour_Building_2025_Monthly_Summary.xlsx (Total Revenue 1,507,315 − Total Expenses 484,848). Partial lease-up year (Jan–Feb pre-lease).</t>
      </text>
    </comment>
    <comment ref="I11" authorId="0" shapeId="0">
      <text>
        <t>Elias Chamoun:
REAL — 2026 forecast Net Operating Income from '2026 Armor Operating Pro Forma' (Total Revenue 2,728,071 − Total OpEx incl. taxes/insurance 705,330).</t>
      </text>
    </comment>
    <comment ref="H12" authorId="0" shapeId="0">
      <text>
        <t>Elias Chamoun:
REAL — Total Expenses 484,847.99 / Total Revenue 1,507,315 = 32.2%.</t>
      </text>
    </comment>
    <comment ref="I12" authorId="0" shapeId="0">
      <text>
        <t>Elias Chamoun:
REAL — Total Operating Expenses 705,330 / Total Revenue 2,728,071 = 25.9%.</t>
      </text>
    </comment>
    <comment ref="H15" authorId="0" shapeId="0">
      <text>
        <t>Elias Chamoun:
ASSUMPTION — unlevered IRR (7% going-in + modest growth, flat exit, all-equity). Not in source file.</t>
      </text>
    </comment>
    <comment ref="I15" authorId="0" shapeId="0">
      <text>
        <t>Elias Chamoun:
ASSUMPTION — unlevered IRR (7% going-in + modest growth, flat exit). Not in pro forma.</t>
      </text>
    </comment>
    <comment ref="H16" authorId="0" shapeId="0">
      <text>
        <t>Elias Chamoun:
ASSUMPTION — levered IRR = unlevered (all-equity). Not in source file.</t>
      </text>
    </comment>
    <comment ref="I16" authorId="0" shapeId="0">
      <text>
        <t>Elias Chamoun:
ASSUMPTION — levered IRR; positive leverage from ~34% LTV at ~6% debt cost. Not in pro forma.</t>
      </text>
    </comment>
    <comment ref="H17" authorId="0" shapeId="0">
      <text>
        <t>Elias Chamoun:
ASSUMPTION — net rentable SF (mid-size commercial). Not in source file.</t>
      </text>
    </comment>
    <comment ref="I17" authorId="0" shapeId="0">
      <text>
        <t>Elias Chamoun:
REAL — RSF stated on pro forma (USEDC Suite 100 40,079 + Tenant Suite 200 17,087).</t>
      </text>
    </comment>
    <comment ref="H21" authorId="0" shapeId="0">
      <text>
        <t>Elias Chamoun:
ASSUMPTION — placeholder core-market population ≥200k. Actual market not in source file.</t>
      </text>
    </comment>
    <comment ref="I21" authorId="0" shapeId="0">
      <text>
        <t>Elias Chamoun:
ASSUMPTION — placeholder core-market population ≥200k. Actual market not in pro forma.</t>
      </text>
    </comment>
    <comment ref="H22" authorId="0" shapeId="0">
      <text>
        <t>Elias Chamoun:
ASSUMPTION — 5-yr population growth, in line with real markets (~0.1–1.2%). Market unknown.</t>
      </text>
    </comment>
    <comment ref="I22" authorId="0" shapeId="0">
      <text>
        <t>Elias Chamoun:
ASSUMPTION — 5-yr population growth, in line with real markets (~0.1–1.2%). Market unknown.</t>
      </text>
    </comment>
    <comment ref="H23" authorId="0" shapeId="0">
      <text>
        <t>Elias Chamoun:
ASSUMPTION — supply pipeline %, mid-range vs real markets. Market unknown.</t>
      </text>
    </comment>
    <comment ref="I23" authorId="0" shapeId="0">
      <text>
        <t>Elias Chamoun:
ASSUMPTION — supply pipeline %, mid-range. Market unknown.</t>
      </text>
    </comment>
  </commentList>
</comments>
</file>

<file path=xl/tables/table1.xml><?xml version="1.0" encoding="utf-8"?>
<table xmlns="http://schemas.openxmlformats.org/spreadsheetml/2006/main" id="1" name="Table2" displayName="Table2" ref="B38:U112" headerRowCount="1" headerRowDxfId="32" totalsRowDxfId="31">
  <autoFilter ref="B38:U112"/>
  <tableColumns count="20">
    <tableColumn id="1" name=" " totalsRowLabel="Total" dataDxfId="11" totalsRowDxfId="30" dataCellStyle="Comma"/>
    <tableColumn id="20" name=" 2" dataDxfId="10" totalsRowDxfId="29" dataCellStyle="Comma"/>
    <tableColumn id="2" name=" 3" dataDxfId="9" totalsRowDxfId="28" dataCellStyle="Comma"/>
    <tableColumn id="3" name=" 4" totalsRowFunction="sum" dataDxfId="8" totalsRowDxfId="27" dataCellStyle="Comma"/>
    <tableColumn id="4" name=" 5" dataDxfId="7" totalsRowDxfId="26" dataCellStyle="Comma"/>
    <tableColumn id="5" name=" 6" dataDxfId="6" totalsRowDxfId="25" dataCellStyle="Comma"/>
    <tableColumn id="6" name=" 7" dataDxfId="5" totalsRowDxfId="24" dataCellStyle="Comma"/>
    <tableColumn id="7" name=" 8" dataDxfId="4" dataCellStyle="Comma"/>
    <tableColumn id="8" name=" 9" dataDxfId="3" totalsRowDxfId="23" dataCellStyle="Comma"/>
    <tableColumn id="9" name=" 10" dataDxfId="2" totalsRowDxfId="22" dataCellStyle="Comma"/>
    <tableColumn id="10" name=" 11" dataDxfId="1" totalsRowDxfId="21" dataCellStyle="Comma"/>
    <tableColumn id="11" name=" 12" dataDxfId="0" totalsRowDxfId="20" dataCellStyle="Comma"/>
    <tableColumn id="12" name="Column9" totalsRowDxfId="19"/>
    <tableColumn id="13" name="Column10" totalsRowDxfId="18"/>
    <tableColumn id="14" name="Column11" totalsRowDxfId="17"/>
    <tableColumn id="15" name="Column12" totalsRowDxfId="16"/>
    <tableColumn id="16" name="Column13" totalsRowDxfId="15"/>
    <tableColumn id="17" name="Column14" totalsRowDxfId="14"/>
    <tableColumn id="18" name="Column15" totalsRowDxfId="13"/>
    <tableColumn id="19" name="Column16" totalsRowFunction="count" totalsRow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E10"/>
  <sheetViews>
    <sheetView showGridLines="0" workbookViewId="0">
      <selection activeCell="G11" sqref="G11"/>
    </sheetView>
  </sheetViews>
  <sheetFormatPr baseColWidth="8" defaultRowHeight="14.5"/>
  <sheetData>
    <row r="1">
      <c r="A1" s="30" t="inlineStr">
        <is>
          <t xml:space="preserve">Instruction </t>
        </is>
      </c>
      <c r="B1" s="31" t="n"/>
      <c r="C1" s="31" t="n"/>
      <c r="D1" s="31" t="n"/>
      <c r="E1" s="32" t="n"/>
    </row>
    <row r="2">
      <c r="A2" s="26" t="n"/>
      <c r="E2" s="27" t="n"/>
    </row>
    <row r="3">
      <c r="A3" s="26" t="n"/>
      <c r="E3" s="27" t="n"/>
    </row>
    <row r="4">
      <c r="A4" s="26" t="n"/>
      <c r="E4" s="27" t="n"/>
    </row>
    <row r="5">
      <c r="A5" s="26" t="n"/>
      <c r="E5" s="27" t="n"/>
    </row>
    <row r="6">
      <c r="A6" s="26" t="n"/>
      <c r="E6" s="27" t="n"/>
    </row>
    <row r="7">
      <c r="A7" s="26" t="n"/>
      <c r="E7" s="27" t="n"/>
    </row>
    <row r="8">
      <c r="A8" s="26" t="n"/>
      <c r="E8" s="27" t="n"/>
    </row>
    <row r="9">
      <c r="A9" s="26" t="n"/>
      <c r="E9" s="27" t="n"/>
    </row>
    <row r="10" ht="47.5" customHeight="1" s="54">
      <c r="A10" s="28" t="n"/>
      <c r="B10" s="25" t="n"/>
      <c r="C10" s="25" t="n"/>
      <c r="D10" s="25" t="n"/>
      <c r="E10" s="29" t="n"/>
    </row>
    <row r="11" ht="52" customHeight="1" s="54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J50"/>
  <sheetViews>
    <sheetView showGridLines="0" tabSelected="1" workbookViewId="0">
      <selection activeCell="O14" sqref="O14"/>
    </sheetView>
  </sheetViews>
  <sheetFormatPr baseColWidth="8" defaultRowHeight="14.5"/>
  <cols>
    <col width="20.453125" customWidth="1" style="54" min="1" max="1"/>
    <col width="32.453125" customWidth="1" style="54" min="2" max="2"/>
    <col width="26.54296875" bestFit="1" customWidth="1" style="54" min="3" max="3"/>
    <col width="13.7265625" bestFit="1" customWidth="1" style="54" min="4" max="4"/>
    <col width="19" customWidth="1" style="54" min="5" max="5"/>
    <col hidden="1" width="13" customWidth="1" style="54" min="8" max="8"/>
    <col hidden="1" width="13" customWidth="1" style="54" min="10" max="10"/>
  </cols>
  <sheetData>
    <row r="1" ht="30" customHeight="1" s="54">
      <c r="A1" s="53" t="inlineStr">
        <is>
          <t>INVESTMENT COMMITTEE  ·  GO / NO-GO DASHBOARD</t>
        </is>
      </c>
      <c r="H1" s="1">
        <f>MATCH($B$3,Deals!$1:$1,0)</f>
        <v/>
      </c>
      <c r="J1" s="2">
        <f>Deals!B1</f>
        <v/>
      </c>
    </row>
    <row r="2">
      <c r="J2" s="2">
        <f>Deals!C1</f>
        <v/>
      </c>
    </row>
    <row r="3" ht="15.5" customHeight="1" s="54">
      <c r="A3" s="3" t="inlineStr">
        <is>
          <t>Select a deal ▼</t>
        </is>
      </c>
      <c r="B3" s="4" t="inlineStr">
        <is>
          <t>Dev Model 11Mkts (MF)</t>
        </is>
      </c>
      <c r="J3" s="2">
        <f>Deals!D1</f>
        <v/>
      </c>
    </row>
    <row r="4">
      <c r="J4" s="2">
        <f>Deals!E1</f>
        <v/>
      </c>
    </row>
    <row r="5" ht="18.5" customHeight="1" s="54">
      <c r="A5" s="5" t="inlineStr">
        <is>
          <t>VERDICT</t>
        </is>
      </c>
      <c r="B5" s="6">
        <f>INDEX(Scores!$A$1:$L$14,14,$H$1)</f>
        <v/>
      </c>
      <c r="C5" s="5" t="inlineStr">
        <is>
          <t>Closest archetype</t>
        </is>
      </c>
      <c r="E5" s="55" t="inlineStr">
        <is>
          <t>Import File Button</t>
        </is>
      </c>
      <c r="J5" s="2">
        <f>Deals!F1</f>
        <v/>
      </c>
    </row>
    <row r="6" ht="18.5" customHeight="1" s="54">
      <c r="A6" s="5" t="inlineStr">
        <is>
          <t>Score / 100</t>
        </is>
      </c>
      <c r="B6" s="6">
        <f>INDEX(Scores!$A$1:$L$14,12,$H$1)</f>
        <v/>
      </c>
      <c r="C6" s="7">
        <f>IF(INDEX(Deals!$A$1:$L$27,4,$H$1)=1,"Hamburg (Development)","Springfield (Income/Core)")</f>
        <v/>
      </c>
      <c r="J6" s="2">
        <f>Deals!G1</f>
        <v/>
      </c>
    </row>
    <row r="7">
      <c r="J7" s="2">
        <f>Deals!H1</f>
        <v/>
      </c>
    </row>
    <row r="8">
      <c r="A8" s="8" t="inlineStr">
        <is>
          <t>Metric</t>
        </is>
      </c>
      <c r="B8" s="9" t="inlineStr">
        <is>
          <t>Selected deal</t>
        </is>
      </c>
      <c r="C8" s="9">
        <f>Deals!B1</f>
        <v/>
      </c>
      <c r="D8" s="9">
        <f>Deals!C1</f>
        <v/>
      </c>
      <c r="J8" s="2">
        <f>Deals!I1</f>
        <v/>
      </c>
    </row>
    <row r="9">
      <c r="A9" s="3" t="inlineStr">
        <is>
          <t>Deal type</t>
        </is>
      </c>
      <c r="B9" s="10">
        <f>INDEX(Deals!$A$1:$L$27,2,$H$1)</f>
        <v/>
      </c>
      <c r="C9" s="10">
        <f>Deals!B2</f>
        <v/>
      </c>
      <c r="D9" s="10">
        <f>Deals!C2</f>
        <v/>
      </c>
      <c r="J9" s="2">
        <f>Deals!J1</f>
        <v/>
      </c>
    </row>
    <row r="10">
      <c r="A10" s="3" t="inlineStr">
        <is>
          <t>Market (county)</t>
        </is>
      </c>
      <c r="B10" s="10">
        <f>INDEX(Deals!$A$1:$L$27,3,$H$1)</f>
        <v/>
      </c>
      <c r="C10" s="10">
        <f>Deals!B3</f>
        <v/>
      </c>
      <c r="D10" s="10">
        <f>Deals!C3</f>
        <v/>
      </c>
      <c r="J10" s="2">
        <f>Deals!K1</f>
        <v/>
      </c>
    </row>
    <row r="11">
      <c r="A11" s="3" t="inlineStr">
        <is>
          <t>Total cost</t>
        </is>
      </c>
      <c r="B11" s="11">
        <f>INDEX(Deals!$A$1:$L$27,5,$H$1)</f>
        <v/>
      </c>
      <c r="C11" s="11">
        <f>Deals!B5</f>
        <v/>
      </c>
      <c r="D11" s="11">
        <f>Deals!C5</f>
        <v/>
      </c>
      <c r="J11" s="2">
        <f>Deals!L1</f>
        <v/>
      </c>
    </row>
    <row r="12">
      <c r="A12" s="3" t="inlineStr">
        <is>
          <t>Equity</t>
        </is>
      </c>
      <c r="B12" s="11">
        <f>INDEX(Deals!$A$1:$L$27,6,$H$1)</f>
        <v/>
      </c>
      <c r="C12" s="11">
        <f>Deals!B6</f>
        <v/>
      </c>
      <c r="D12" s="11">
        <f>Deals!C6</f>
        <v/>
      </c>
    </row>
    <row r="13">
      <c r="A13" s="3" t="inlineStr">
        <is>
          <t>Debt</t>
        </is>
      </c>
      <c r="B13" s="11">
        <f>INDEX(Deals!$A$1:$L$27,7,$H$1)</f>
        <v/>
      </c>
      <c r="C13" s="11">
        <f>Deals!B7</f>
        <v/>
      </c>
      <c r="D13" s="11">
        <f>Deals!C7</f>
        <v/>
      </c>
    </row>
    <row r="14">
      <c r="A14" s="3" t="inlineStr">
        <is>
          <t>LTV</t>
        </is>
      </c>
      <c r="B14" s="12">
        <f>INDEX(Deals!$A$1:$L$27,8,$H$1)</f>
        <v/>
      </c>
      <c r="C14" s="12">
        <f>Deals!B8</f>
        <v/>
      </c>
      <c r="D14" s="12">
        <f>Deals!C8</f>
        <v/>
      </c>
    </row>
    <row r="15">
      <c r="A15" s="3" t="inlineStr">
        <is>
          <t>Going-in cap</t>
        </is>
      </c>
      <c r="B15" s="12">
        <f>INDEX(Deals!$A$1:$L$27,9,$H$1)</f>
        <v/>
      </c>
      <c r="C15" s="12">
        <f>Deals!B9</f>
        <v/>
      </c>
      <c r="D15" s="12">
        <f>Deals!C9</f>
        <v/>
      </c>
    </row>
    <row r="16">
      <c r="A16" s="3" t="inlineStr">
        <is>
          <t>Exit cap</t>
        </is>
      </c>
      <c r="B16" s="12">
        <f>INDEX(Deals!$A$1:$L$27,10,$H$1)</f>
        <v/>
      </c>
      <c r="C16" s="12">
        <f>Deals!B10</f>
        <v/>
      </c>
      <c r="D16" s="12">
        <f>Deals!C10</f>
        <v/>
      </c>
    </row>
    <row r="17">
      <c r="A17" s="3" t="inlineStr">
        <is>
          <t>NOI</t>
        </is>
      </c>
      <c r="B17" s="11">
        <f>INDEX(Deals!$A$1:$L$27,11,$H$1)</f>
        <v/>
      </c>
      <c r="C17" s="11">
        <f>Deals!B11</f>
        <v/>
      </c>
      <c r="D17" s="11">
        <f>Deals!C11</f>
        <v/>
      </c>
    </row>
    <row r="18">
      <c r="A18" s="3" t="inlineStr">
        <is>
          <t>Op-ex ratio</t>
        </is>
      </c>
      <c r="B18" s="12">
        <f>INDEX(Deals!$A$1:$L$27,12,$H$1)</f>
        <v/>
      </c>
      <c r="C18" s="12">
        <f>Deals!B12</f>
        <v/>
      </c>
      <c r="D18" s="12">
        <f>Deals!C12</f>
        <v/>
      </c>
    </row>
    <row r="19">
      <c r="A19" s="3" t="inlineStr">
        <is>
          <t>Yield on cost</t>
        </is>
      </c>
      <c r="B19" s="12">
        <f>INDEX(Deals!$A$1:$L$27,13,$H$1)</f>
        <v/>
      </c>
      <c r="C19" s="12">
        <f>Deals!B13</f>
        <v/>
      </c>
      <c r="D19" s="12">
        <f>Deals!C13</f>
        <v/>
      </c>
    </row>
    <row r="20">
      <c r="A20" s="3" t="inlineStr">
        <is>
          <t>Dev. spread</t>
        </is>
      </c>
      <c r="B20" s="12">
        <f>INDEX(Deals!$A$1:$L$27,14,$H$1)</f>
        <v/>
      </c>
      <c r="C20" s="12">
        <f>Deals!B14</f>
        <v/>
      </c>
      <c r="D20" s="12">
        <f>Deals!C14</f>
        <v/>
      </c>
    </row>
    <row r="21">
      <c r="A21" s="3" t="inlineStr">
        <is>
          <t>Unlevered IRR</t>
        </is>
      </c>
      <c r="B21" s="12">
        <f>INDEX(Deals!$A$1:$L$27,15,$H$1)</f>
        <v/>
      </c>
      <c r="C21" s="12">
        <f>Deals!B15</f>
        <v/>
      </c>
      <c r="D21" s="12">
        <f>Deals!C15</f>
        <v/>
      </c>
    </row>
    <row r="22">
      <c r="A22" s="3" t="inlineStr">
        <is>
          <t>Levered IRR</t>
        </is>
      </c>
      <c r="B22" s="12">
        <f>INDEX(Deals!$A$1:$L$27,16,$H$1)</f>
        <v/>
      </c>
      <c r="C22" s="12">
        <f>Deals!B16</f>
        <v/>
      </c>
      <c r="D22" s="12">
        <f>Deals!C16</f>
        <v/>
      </c>
    </row>
    <row r="23">
      <c r="A23" s="3" t="inlineStr">
        <is>
          <t>NRSF</t>
        </is>
      </c>
      <c r="B23" s="13">
        <f>INDEX(Deals!$A$1:$L$27,17,$H$1)</f>
        <v/>
      </c>
      <c r="C23" s="13">
        <f>Deals!B17</f>
        <v/>
      </c>
      <c r="D23" s="13">
        <f>Deals!C17</f>
        <v/>
      </c>
    </row>
    <row r="24">
      <c r="A24" s="3" t="inlineStr">
        <is>
          <t>Market population</t>
        </is>
      </c>
      <c r="B24" s="13">
        <f>INDEX(Deals!$A$1:$L$27,21,$H$1)</f>
        <v/>
      </c>
      <c r="C24" s="13">
        <f>Deals!B21</f>
        <v/>
      </c>
      <c r="D24" s="13">
        <f>Deals!C21</f>
        <v/>
      </c>
    </row>
    <row r="25">
      <c r="A25" s="3" t="inlineStr">
        <is>
          <t>5-yr pop growth</t>
        </is>
      </c>
      <c r="B25" s="12">
        <f>INDEX(Deals!$A$1:$L$27,22,$H$1)</f>
        <v/>
      </c>
      <c r="C25" s="12">
        <f>Deals!B22</f>
        <v/>
      </c>
      <c r="D25" s="12">
        <f>Deals!C22</f>
        <v/>
      </c>
    </row>
    <row r="26">
      <c r="A26" s="3" t="inlineStr">
        <is>
          <t>Supply pipeline %</t>
        </is>
      </c>
      <c r="B26" s="12">
        <f>INDEX(Deals!$A$1:$L$27,23,$H$1)</f>
        <v/>
      </c>
      <c r="C26" s="12">
        <f>Deals!B23</f>
        <v/>
      </c>
      <c r="D26" s="12">
        <f>Deals!C23</f>
        <v/>
      </c>
    </row>
    <row r="27">
      <c r="A27" s="3" t="inlineStr">
        <is>
          <t>Market rank</t>
        </is>
      </c>
      <c r="B27" s="14">
        <f>INDEX(Deals!$A$1:$L$27,24,$H$1)</f>
        <v/>
      </c>
      <c r="C27" s="14">
        <f>Deals!B24</f>
        <v/>
      </c>
      <c r="D27" s="14">
        <f>Deals!C24</f>
        <v/>
      </c>
    </row>
    <row r="28">
      <c r="A28" s="3" t="inlineStr">
        <is>
          <t>Best IRR (calc)</t>
        </is>
      </c>
      <c r="B28" s="12">
        <f>INDEX(Deals!$A$1:$L$27,26,$H$1)</f>
        <v/>
      </c>
      <c r="C28" s="12">
        <f>Deals!B26</f>
        <v/>
      </c>
      <c r="D28" s="12">
        <f>Deals!C26</f>
        <v/>
      </c>
    </row>
    <row r="31">
      <c r="A31" s="8" t="inlineStr">
        <is>
          <t>Gate</t>
        </is>
      </c>
      <c r="B31" s="9" t="inlineStr">
        <is>
          <t>Points (selected)</t>
        </is>
      </c>
      <c r="C31" s="9" t="inlineStr">
        <is>
          <t>Max</t>
        </is>
      </c>
    </row>
    <row r="32">
      <c r="A32" s="3" t="inlineStr">
        <is>
          <t>IRR beats exit cap</t>
        </is>
      </c>
      <c r="B32" s="10">
        <f>INDEX(Scores!$A$1:$L$14,2,$H$1)</f>
        <v/>
      </c>
      <c r="C32" s="10" t="n">
        <v>15</v>
      </c>
    </row>
    <row r="33">
      <c r="A33" s="3" t="inlineStr">
        <is>
          <t>Yield clears floor</t>
        </is>
      </c>
      <c r="B33" s="10">
        <f>INDEX(Scores!$A$1:$L$14,3,$H$1)</f>
        <v/>
      </c>
      <c r="C33" s="10" t="n">
        <v>15</v>
      </c>
    </row>
    <row r="34">
      <c r="A34" s="3" t="inlineStr">
        <is>
          <t>Op-ex in range</t>
        </is>
      </c>
      <c r="B34" s="10">
        <f>INDEX(Scores!$A$1:$L$14,4,$H$1)</f>
        <v/>
      </c>
      <c r="C34" s="10" t="n">
        <v>10</v>
      </c>
    </row>
    <row r="35">
      <c r="A35" s="3" t="inlineStr">
        <is>
          <t>Population ≥ 200k</t>
        </is>
      </c>
      <c r="B35" s="10">
        <f>INDEX(Scores!$A$1:$L$14,5,$H$1)</f>
        <v/>
      </c>
      <c r="C35" s="10" t="n">
        <v>12</v>
      </c>
    </row>
    <row r="36">
      <c r="A36" s="3" t="inlineStr">
        <is>
          <t>Positive pop growth</t>
        </is>
      </c>
      <c r="B36" s="10">
        <f>INDEX(Scores!$A$1:$L$14,6,$H$1)</f>
        <v/>
      </c>
      <c r="C36" s="10" t="n">
        <v>10</v>
      </c>
    </row>
    <row r="37">
      <c r="A37" s="3" t="inlineStr">
        <is>
          <t>Pipeline contained</t>
        </is>
      </c>
      <c r="B37" s="10">
        <f>INDEX(Scores!$A$1:$L$14,7,$H$1)</f>
        <v/>
      </c>
      <c r="C37" s="10" t="n">
        <v>10</v>
      </c>
    </row>
    <row r="38">
      <c r="A38" s="3" t="inlineStr">
        <is>
          <t>Return clears target</t>
        </is>
      </c>
      <c r="B38" s="10">
        <f>INDEX(Scores!$A$1:$L$14,8,$H$1)</f>
        <v/>
      </c>
      <c r="C38" s="10" t="n">
        <v>13</v>
      </c>
    </row>
    <row r="39">
      <c r="A39" s="3" t="inlineStr">
        <is>
          <t>Market upper half</t>
        </is>
      </c>
      <c r="B39" s="10">
        <f>INDEX(Scores!$A$1:$L$14,9,$H$1)</f>
        <v/>
      </c>
      <c r="C39" s="10" t="n">
        <v>8</v>
      </c>
    </row>
    <row r="40">
      <c r="A40" s="3" t="inlineStr">
        <is>
          <t>Size near 75k NRSF</t>
        </is>
      </c>
      <c r="B40" s="10">
        <f>INDEX(Scores!$A$1:$L$14,10,$H$1)</f>
        <v/>
      </c>
      <c r="C40" s="10" t="n">
        <v>7</v>
      </c>
    </row>
    <row r="42">
      <c r="A42" s="115" t="inlineStr">
        <is>
          <t>DOWNSIDE STRESS TEST  ·  exit cap +75bps · NOI −7.5% · cost +10%</t>
        </is>
      </c>
    </row>
    <row r="43">
      <c r="A43" s="115" t="inlineStr">
        <is>
          <t>Metric</t>
        </is>
      </c>
      <c r="B43" s="115" t="inlineStr">
        <is>
          <t>Base</t>
        </is>
      </c>
      <c r="C43" s="115" t="inlineStr">
        <is>
          <t>Stressed</t>
        </is>
      </c>
    </row>
    <row r="44">
      <c r="A44" s="116" t="inlineStr">
        <is>
          <t>Exit cap</t>
        </is>
      </c>
      <c r="B44" s="117">
        <f>B16</f>
        <v/>
      </c>
      <c r="C44" s="117">
        <f>IFERROR(B16+0.0075,"")</f>
        <v/>
      </c>
    </row>
    <row r="45">
      <c r="A45" s="116" t="inlineStr">
        <is>
          <t>NOI</t>
        </is>
      </c>
      <c r="B45" s="118">
        <f>B17</f>
        <v/>
      </c>
      <c r="C45" s="118">
        <f>IFERROR(B17*0.925,"")</f>
        <v/>
      </c>
    </row>
    <row r="46">
      <c r="A46" s="116" t="inlineStr">
        <is>
          <t>Total cost</t>
        </is>
      </c>
      <c r="B46" s="118">
        <f>B11</f>
        <v/>
      </c>
      <c r="C46" s="118">
        <f>IFERROR(B11*1.1,"")</f>
        <v/>
      </c>
    </row>
    <row r="47">
      <c r="A47" s="116" t="inlineStr">
        <is>
          <t>Yield on cost</t>
        </is>
      </c>
      <c r="B47" s="117">
        <f>B19</f>
        <v/>
      </c>
      <c r="C47" s="117">
        <f>IFERROR(C45/C46,"")</f>
        <v/>
      </c>
    </row>
    <row r="48">
      <c r="A48" s="116" t="inlineStr">
        <is>
          <t>Implied value</t>
        </is>
      </c>
      <c r="B48" s="118">
        <f>IFERROR(B17/B16,"")</f>
        <v/>
      </c>
      <c r="C48" s="118">
        <f>IFERROR(C45/C44,"")</f>
        <v/>
      </c>
    </row>
    <row r="49">
      <c r="A49" s="116" t="inlineStr">
        <is>
          <t>Dev spread (YoC−exit)</t>
        </is>
      </c>
      <c r="B49" s="117">
        <f>IFERROR(B19-B16,"")</f>
        <v/>
      </c>
      <c r="C49" s="117">
        <f>IFERROR(C47-C44,"")</f>
        <v/>
      </c>
    </row>
    <row r="50">
      <c r="A50" s="116" t="inlineStr">
        <is>
          <t>Survives stress?</t>
        </is>
      </c>
      <c r="B50" s="116">
        <f>IF(AND(C47&gt;=0.065,IF(B9="Development",C49&gt;=0,TRUE),B28&gt;C44),"YES — robust","FRAGILE — fails under stress")</f>
        <v/>
      </c>
    </row>
  </sheetData>
  <mergeCells count="4">
    <mergeCell ref="E5:F5"/>
    <mergeCell ref="A1:E1"/>
    <mergeCell ref="B50:C50"/>
    <mergeCell ref="A42:C42"/>
  </mergeCells>
  <conditionalFormatting sqref="B5">
    <cfRule type="cellIs" priority="1" operator="equal" dxfId="35">
      <formula>"GO"</formula>
    </cfRule>
    <cfRule type="cellIs" priority="2" operator="equal" dxfId="34">
      <formula>"CONDITIONAL GO"</formula>
    </cfRule>
    <cfRule type="cellIs" priority="3" operator="equal" dxfId="33">
      <formula>"NO-GO"</formula>
    </cfRule>
  </conditionalFormatting>
  <conditionalFormatting sqref="B32:B40">
    <cfRule type="cellIs" priority="4" operator="greaterThanOrEqual" dxfId="40">
      <formula>C32</formula>
    </cfRule>
    <cfRule type="cellIs" priority="5" operator="equal" dxfId="39">
      <formula>0</formula>
    </cfRule>
  </conditionalFormatting>
  <conditionalFormatting sqref="B50">
    <cfRule type="expression" priority="6" dxfId="44">
      <formula>ISNUMBER(SEARCH("YES",B50))</formula>
    </cfRule>
    <cfRule type="expression" priority="7" dxfId="45">
      <formula>ISNUMBER(SEARCH("FRAGILE",B50))</formula>
    </cfRule>
  </conditionalFormatting>
  <dataValidations count="1">
    <dataValidation sqref="B3" showDropDown="0" showInputMessage="0" showErrorMessage="0" allowBlank="0" prompt="Choose a deal to evaluate" type="list">
      <formula1>$J$1:$J$11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L27"/>
  <sheetViews>
    <sheetView showGridLines="0" workbookViewId="0">
      <pane xSplit="1" ySplit="1" topLeftCell="B2" activePane="bottomRight" state="frozen"/>
      <selection pane="topRight" activeCell="A1" sqref="A1"/>
      <selection pane="bottomLeft" activeCell="A1" sqref="A1"/>
      <selection pane="bottomRight" activeCell="B20" sqref="B20"/>
    </sheetView>
  </sheetViews>
  <sheetFormatPr baseColWidth="8" defaultRowHeight="14.5"/>
  <cols>
    <col width="22.1796875" bestFit="1" customWidth="1" style="54" min="1" max="1"/>
    <col width="26.54296875" bestFit="1" customWidth="1" style="54" min="2" max="2"/>
    <col width="13.7265625" bestFit="1" customWidth="1" style="54" min="3" max="3"/>
    <col width="22.7265625" bestFit="1" customWidth="1" style="54" min="4" max="4"/>
    <col width="26.54296875" bestFit="1" customWidth="1" style="54" min="5" max="12"/>
  </cols>
  <sheetData>
    <row r="1">
      <c r="A1" s="33" t="inlineStr">
        <is>
          <t>Metric</t>
        </is>
      </c>
      <c r="B1" s="17" t="inlineStr">
        <is>
          <t>Springfield (DST)</t>
        </is>
      </c>
      <c r="C1" s="17" t="inlineStr">
        <is>
          <t>Hamburg (Dev)</t>
        </is>
      </c>
      <c r="D1" s="17" t="inlineStr">
        <is>
          <t>Maple Grove (Candidate)</t>
        </is>
      </c>
      <c r="E1" s="17" t="inlineStr">
        <is>
          <t>armour</t>
        </is>
      </c>
      <c r="F1" s="17" t="inlineStr">
        <is>
          <t>Dev Model 11Mkts (MF)</t>
        </is>
      </c>
      <c r="G1" s="17" t="inlineStr">
        <is>
          <t>Factory Model (Mfg)</t>
        </is>
      </c>
      <c r="H1" s="17" t="inlineStr">
        <is>
          <t>[Comp] Winner (illustrative)</t>
        </is>
      </c>
      <c r="I1" s="17" t="inlineStr">
        <is>
          <t>[Comp] Loser (illustrative)</t>
        </is>
      </c>
      <c r="J1" s="17" t="inlineStr">
        <is>
          <t>New Deal 6</t>
        </is>
      </c>
      <c r="K1" s="17" t="inlineStr">
        <is>
          <t>New Deal 7</t>
        </is>
      </c>
      <c r="L1" s="17" t="inlineStr">
        <is>
          <t>New Deal 8</t>
        </is>
      </c>
    </row>
    <row r="2">
      <c r="A2" s="21" t="inlineStr">
        <is>
          <t>Deal type</t>
        </is>
      </c>
      <c r="B2" s="34" t="inlineStr">
        <is>
          <t>Income/Core (DST/Stabilized)</t>
        </is>
      </c>
      <c r="C2" s="34" t="inlineStr">
        <is>
          <t>Development</t>
        </is>
      </c>
      <c r="D2" s="34" t="inlineStr">
        <is>
          <t>Development</t>
        </is>
      </c>
      <c r="E2" s="19" t="inlineStr">
        <is>
          <t>Income/Core (DST/Stabilized)</t>
        </is>
      </c>
      <c r="F2" s="19" t="inlineStr">
        <is>
          <t>Development</t>
        </is>
      </c>
      <c r="G2" s="35" t="inlineStr">
        <is>
          <t>Development</t>
        </is>
      </c>
      <c r="H2" s="35" t="inlineStr">
        <is>
          <t>Income/Core (DST/Stabilized)</t>
        </is>
      </c>
      <c r="I2" s="35" t="inlineStr">
        <is>
          <t>Income/Core (DST/Stabilized)</t>
        </is>
      </c>
      <c r="J2" s="35" t="inlineStr">
        <is>
          <t>Income/Core (DST/Stabilized)</t>
        </is>
      </c>
      <c r="K2" s="35" t="inlineStr">
        <is>
          <t>Income/Core (DST/Stabilized)</t>
        </is>
      </c>
      <c r="L2" s="35" t="inlineStr">
        <is>
          <t>Income/Core (DST/Stabilized)</t>
        </is>
      </c>
    </row>
    <row r="3">
      <c r="A3" s="21" t="inlineStr">
        <is>
          <t>Market (county)</t>
        </is>
      </c>
      <c r="B3" s="34" t="inlineStr">
        <is>
          <t>Springfield</t>
        </is>
      </c>
      <c r="C3" s="34" t="inlineStr">
        <is>
          <t>Hamburg</t>
        </is>
      </c>
      <c r="D3" s="34" t="inlineStr">
        <is>
          <t>Nashville, Tennessee</t>
        </is>
      </c>
      <c r="E3" s="19" t="n"/>
      <c r="F3" s="19" t="inlineStr">
        <is>
          <t>TX/OK/AR — workforce MF (placeholder mkt)</t>
        </is>
      </c>
      <c r="G3" s="35" t="inlineStr">
        <is>
          <t>Modular factory — mfg business (placeholder mkt)</t>
        </is>
      </c>
      <c r="H3" s="49" t="inlineStr">
        <is>
          <t>Illustrative strong storage market</t>
        </is>
      </c>
      <c r="I3" s="49" t="inlineStr">
        <is>
          <t>Illustrative weak/overpaid deal</t>
        </is>
      </c>
      <c r="J3" s="35" t="n"/>
      <c r="K3" s="35" t="n"/>
      <c r="L3" s="35" t="n"/>
    </row>
    <row r="4">
      <c r="A4" s="21" t="inlineStr">
        <is>
          <t>Is development (1/0)</t>
        </is>
      </c>
      <c r="B4" s="36" t="n">
        <v>0</v>
      </c>
      <c r="C4" s="36" t="n">
        <v>1</v>
      </c>
      <c r="D4" s="36" t="n">
        <v>1</v>
      </c>
      <c r="E4" s="37">
        <f>IF(EXACT(E2,"Development"),1,0)</f>
        <v/>
      </c>
      <c r="F4" s="37">
        <f>IF(EXACT(F2,"Development"),1,0)</f>
        <v/>
      </c>
      <c r="G4" s="38">
        <f>IF(EXACT(G2,"Development"),1,0)</f>
        <v/>
      </c>
      <c r="H4" s="38">
        <f>IF(EXACT(H2,"Development"),1,0)</f>
        <v/>
      </c>
      <c r="I4" s="38">
        <f>IF(EXACT(I2,"Development"),1,0)</f>
        <v/>
      </c>
      <c r="J4" s="38">
        <f>IF(EXACT(J2,"Development"),1,0)</f>
        <v/>
      </c>
      <c r="K4" s="38">
        <f>IF(EXACT(K2,"Development"),1,0)</f>
        <v/>
      </c>
      <c r="L4" s="38">
        <f>IF(EXACT(L2,"Development"),1,0)</f>
        <v/>
      </c>
    </row>
    <row r="5">
      <c r="A5" s="21" t="inlineStr">
        <is>
          <t>Total cost</t>
        </is>
      </c>
      <c r="B5" s="39" t="n">
        <v>13212143</v>
      </c>
      <c r="C5" s="39" t="n">
        <v>9592457</v>
      </c>
      <c r="D5" s="39" t="n">
        <v>9800000</v>
      </c>
      <c r="E5" s="22" t="n"/>
      <c r="F5" s="22" t="n">
        <v>760660000</v>
      </c>
      <c r="G5" s="40" t="n">
        <v>23500000</v>
      </c>
      <c r="H5" s="40" t="n">
        <v>10000000</v>
      </c>
      <c r="I5" s="40" t="n">
        <v>12000000</v>
      </c>
      <c r="J5" s="40" t="n"/>
      <c r="K5" s="40" t="n"/>
      <c r="L5" s="40" t="n"/>
    </row>
    <row r="6">
      <c r="A6" s="21" t="inlineStr">
        <is>
          <t>Equity</t>
        </is>
      </c>
      <c r="B6" s="39" t="n">
        <v>13212143</v>
      </c>
      <c r="C6" s="39" t="n">
        <v>5773999</v>
      </c>
      <c r="D6" s="39" t="n">
        <v>5600000</v>
      </c>
      <c r="E6" s="22" t="n"/>
      <c r="F6" s="22" t="n">
        <v>266231000</v>
      </c>
      <c r="G6" s="40" t="n">
        <v>20000000</v>
      </c>
      <c r="H6" s="40" t="n">
        <v>6000000</v>
      </c>
      <c r="I6" s="40" t="n">
        <v>12000000</v>
      </c>
      <c r="J6" s="40" t="n"/>
      <c r="K6" s="40" t="n"/>
      <c r="L6" s="40" t="n"/>
    </row>
    <row r="7">
      <c r="A7" s="21" t="inlineStr">
        <is>
          <t>Debt</t>
        </is>
      </c>
      <c r="B7" s="39" t="n">
        <v>0</v>
      </c>
      <c r="C7" s="39" t="n">
        <v>3818458</v>
      </c>
      <c r="D7" s="39" t="n">
        <v>4200000</v>
      </c>
      <c r="E7" s="22" t="n"/>
      <c r="F7" s="22" t="n">
        <v>494429000</v>
      </c>
      <c r="G7" s="40" t="n">
        <v>3500000</v>
      </c>
      <c r="H7" s="50" t="n">
        <v>4000000</v>
      </c>
      <c r="I7" s="50" t="n">
        <v>0</v>
      </c>
      <c r="J7" s="40" t="n"/>
      <c r="K7" s="40" t="n"/>
      <c r="L7" s="40" t="n"/>
    </row>
    <row r="8">
      <c r="A8" s="21" t="inlineStr">
        <is>
          <t>LTV</t>
        </is>
      </c>
      <c r="B8" s="41" t="n">
        <v>0</v>
      </c>
      <c r="C8" s="41" t="n">
        <v>0.3980688159456957</v>
      </c>
      <c r="D8" s="41" t="n">
        <v>0.4285714285714285</v>
      </c>
      <c r="E8" s="23">
        <f>IFERROR(E7/E5,"")</f>
        <v/>
      </c>
      <c r="F8" s="23">
        <f>IFERROR(F7/F5,"")</f>
        <v/>
      </c>
      <c r="G8" s="42">
        <f>IFERROR(G7/G5,"")</f>
        <v/>
      </c>
      <c r="H8" s="42">
        <f>IFERROR(H7/H5,"")</f>
        <v/>
      </c>
      <c r="I8" s="42">
        <f>IFERROR(I7/I5,"")</f>
        <v/>
      </c>
      <c r="J8" s="42">
        <f>IFERROR(J7/J5,"")</f>
        <v/>
      </c>
      <c r="K8" s="42">
        <f>IFERROR(K7/K5,"")</f>
        <v/>
      </c>
      <c r="L8" s="42">
        <f>IFERROR(L7/L5,"")</f>
        <v/>
      </c>
    </row>
    <row r="9">
      <c r="A9" s="21" t="inlineStr">
        <is>
          <t>Going-in cap</t>
        </is>
      </c>
      <c r="B9" s="41" t="n">
        <v>0.06999999924312052</v>
      </c>
      <c r="C9" s="41" t="n"/>
      <c r="D9" s="41" t="n"/>
      <c r="E9" s="23" t="n"/>
      <c r="F9" s="23" t="n"/>
      <c r="G9" s="42" t="n"/>
      <c r="H9" s="51" t="n">
        <v>0.075</v>
      </c>
      <c r="I9" s="51" t="n">
        <v>0.05</v>
      </c>
      <c r="J9" s="42" t="n"/>
      <c r="K9" s="42" t="n"/>
      <c r="L9" s="42" t="n"/>
    </row>
    <row r="10">
      <c r="A10" s="21" t="inlineStr">
        <is>
          <t>Exit cap</t>
        </is>
      </c>
      <c r="B10" s="41" t="n">
        <v>0.07000000000000001</v>
      </c>
      <c r="C10" s="41" t="n">
        <v>0.055</v>
      </c>
      <c r="D10" s="41" t="n">
        <v>0.06</v>
      </c>
      <c r="E10" s="23" t="n"/>
      <c r="F10" s="23" t="n">
        <v>0.0602</v>
      </c>
      <c r="G10" s="42" t="n">
        <v>0.1</v>
      </c>
      <c r="H10" s="51" t="n">
        <v>0.065</v>
      </c>
      <c r="I10" s="51" t="n">
        <v>0.05</v>
      </c>
      <c r="J10" s="42" t="n"/>
      <c r="K10" s="42" t="n"/>
      <c r="L10" s="42" t="n"/>
    </row>
    <row r="11">
      <c r="A11" s="21" t="inlineStr">
        <is>
          <t>NOI</t>
        </is>
      </c>
      <c r="B11" s="39" t="n">
        <v>924850</v>
      </c>
      <c r="C11" s="39" t="n">
        <v>706128.144158604</v>
      </c>
      <c r="D11" s="39" t="n">
        <v>735000</v>
      </c>
      <c r="E11" s="22" t="n"/>
      <c r="F11" s="22" t="n">
        <v>58728924</v>
      </c>
      <c r="G11" s="40" t="n">
        <v>11984000</v>
      </c>
      <c r="H11" s="40" t="n">
        <v>750000</v>
      </c>
      <c r="I11" s="40" t="n">
        <v>600000</v>
      </c>
      <c r="J11" s="40" t="n"/>
      <c r="K11" s="40" t="n"/>
      <c r="L11" s="40" t="n"/>
    </row>
    <row r="12">
      <c r="A12" s="21" t="inlineStr">
        <is>
          <t>Op-ex ratio</t>
        </is>
      </c>
      <c r="B12" s="41" t="n">
        <v>0.1401111621446224</v>
      </c>
      <c r="C12" s="41" t="n">
        <v>0.3529709367265373</v>
      </c>
      <c r="D12" s="41" t="n">
        <v>0.33</v>
      </c>
      <c r="E12" s="23" t="n"/>
      <c r="F12" s="23" t="n">
        <v>0.224</v>
      </c>
      <c r="G12" s="42" t="n">
        <v>0.7</v>
      </c>
      <c r="H12" s="42" t="n">
        <v>0.3</v>
      </c>
      <c r="I12" s="42" t="n">
        <v>0.45</v>
      </c>
      <c r="J12" s="42" t="n"/>
      <c r="K12" s="42" t="n"/>
      <c r="L12" s="42" t="n"/>
    </row>
    <row r="13">
      <c r="A13" s="21" t="inlineStr">
        <is>
          <t>Yield on cost</t>
        </is>
      </c>
      <c r="B13" s="41" t="n">
        <v>0.06999999924312052</v>
      </c>
      <c r="C13" s="41" t="n">
        <v>0.07361285478356629</v>
      </c>
      <c r="D13" s="41" t="n">
        <v>0.075</v>
      </c>
      <c r="E13" s="23">
        <f>IFERROR(E11/E5,"")</f>
        <v/>
      </c>
      <c r="F13" s="23">
        <f>IFERROR(F11/F5,"")</f>
        <v/>
      </c>
      <c r="G13" s="42">
        <f>IFERROR(G11/G5,"")</f>
        <v/>
      </c>
      <c r="H13" s="42">
        <f>IFERROR(H11/H5,"")</f>
        <v/>
      </c>
      <c r="I13" s="42">
        <f>IFERROR(I11/I5,"")</f>
        <v/>
      </c>
      <c r="J13" s="42">
        <f>IFERROR(J11/J5,"")</f>
        <v/>
      </c>
      <c r="K13" s="42">
        <f>IFERROR(K11/K5,"")</f>
        <v/>
      </c>
      <c r="L13" s="42">
        <f>IFERROR(L11/L5,"")</f>
        <v/>
      </c>
    </row>
    <row r="14">
      <c r="A14" s="21" t="inlineStr">
        <is>
          <t>Dev. spread</t>
        </is>
      </c>
      <c r="B14" s="41" t="n"/>
      <c r="C14" s="41" t="n">
        <v>0.01861285478356629</v>
      </c>
      <c r="D14" s="41" t="n">
        <v>0.015</v>
      </c>
      <c r="E14" s="23">
        <f>IF(AND(E4=1,E13&lt;&gt;"",E10&lt;&gt;""),E13-E10,"")</f>
        <v/>
      </c>
      <c r="F14" s="23">
        <f>IF(AND(F4=1,F13&lt;&gt;"",F10&lt;&gt;""),F13-F10,"")</f>
        <v/>
      </c>
      <c r="G14" s="42">
        <f>IF(AND(G4=1,G13&lt;&gt;"",G10&lt;&gt;""),G13-G10,"")</f>
        <v/>
      </c>
      <c r="H14" s="42">
        <f>IF(AND(H4=1,H13&lt;&gt;"",H10&lt;&gt;""),H13-H10,"")</f>
        <v/>
      </c>
      <c r="I14" s="42">
        <f>IF(AND(I4=1,I13&lt;&gt;"",I10&lt;&gt;""),I13-I10,"")</f>
        <v/>
      </c>
      <c r="J14" s="42">
        <f>IF(AND(J4=1,J13&lt;&gt;"",J10&lt;&gt;""),J13-J10,"")</f>
        <v/>
      </c>
      <c r="K14" s="42">
        <f>IF(AND(K4=1,K13&lt;&gt;"",K10&lt;&gt;""),K13-K10,"")</f>
        <v/>
      </c>
      <c r="L14" s="42">
        <f>IF(AND(L4=1,L13&lt;&gt;"",L10&lt;&gt;""),L13-L10,"")</f>
        <v/>
      </c>
    </row>
    <row r="15">
      <c r="A15" s="21" t="inlineStr">
        <is>
          <t>Unlevered IRR</t>
        </is>
      </c>
      <c r="B15" s="41" t="n">
        <v>0.1130438304475669</v>
      </c>
      <c r="C15" s="41" t="n">
        <v>0.1731</v>
      </c>
      <c r="D15" s="41" t="n">
        <v>0.158</v>
      </c>
      <c r="E15" s="23" t="n"/>
      <c r="F15" s="23" t="n"/>
      <c r="G15" s="42" t="n"/>
      <c r="H15" s="51" t="n">
        <v>0.12</v>
      </c>
      <c r="I15" s="51" t="n">
        <v>0.045</v>
      </c>
      <c r="J15" s="42" t="n"/>
      <c r="K15" s="42" t="n"/>
      <c r="L15" s="42" t="n"/>
    </row>
    <row r="16">
      <c r="A16" s="21" t="inlineStr">
        <is>
          <t>Levered IRR</t>
        </is>
      </c>
      <c r="B16" s="41" t="n">
        <v>0.1130438304475669</v>
      </c>
      <c r="C16" s="41" t="n">
        <v>0.1691</v>
      </c>
      <c r="D16" s="41" t="n">
        <v>0.171</v>
      </c>
      <c r="E16" s="23" t="n"/>
      <c r="F16" s="23" t="n">
        <v>0.129</v>
      </c>
      <c r="G16" s="42" t="n">
        <v>0.282</v>
      </c>
      <c r="H16" s="51" t="n">
        <v>0.13</v>
      </c>
      <c r="I16" s="51" t="n">
        <v>0.045</v>
      </c>
      <c r="J16" s="42" t="n"/>
      <c r="K16" s="42" t="n"/>
      <c r="L16" s="42" t="n"/>
    </row>
    <row r="17">
      <c r="A17" s="21" t="inlineStr">
        <is>
          <t>NRSF</t>
        </is>
      </c>
      <c r="B17" s="43" t="n"/>
      <c r="C17" s="43" t="n">
        <v>63240</v>
      </c>
      <c r="D17" s="43" t="n">
        <v>78000</v>
      </c>
      <c r="E17" s="24" t="n"/>
      <c r="F17" s="24" t="n"/>
      <c r="G17" s="44" t="n"/>
      <c r="H17" s="52" t="n">
        <v>60000</v>
      </c>
      <c r="I17" s="44" t="n">
        <v>57166</v>
      </c>
      <c r="J17" s="44" t="n"/>
      <c r="K17" s="44" t="n"/>
      <c r="L17" s="44" t="n"/>
    </row>
    <row r="18">
      <c r="A18" s="21" t="inlineStr">
        <is>
          <t>Site acreage</t>
        </is>
      </c>
      <c r="B18" s="43" t="n"/>
      <c r="C18" s="43" t="n">
        <v>11.16</v>
      </c>
      <c r="D18" s="43" t="n">
        <v>9.4</v>
      </c>
      <c r="E18" s="24" t="n"/>
      <c r="F18" s="24" t="n"/>
      <c r="G18" s="44" t="n"/>
      <c r="H18" s="44" t="n"/>
      <c r="I18" s="44" t="n"/>
      <c r="J18" s="44" t="n"/>
      <c r="K18" s="44" t="n"/>
      <c r="L18" s="44" t="n"/>
    </row>
    <row r="19">
      <c r="A19" s="21" t="inlineStr">
        <is>
          <t>Units</t>
        </is>
      </c>
      <c r="B19" s="43" t="n"/>
      <c r="C19" s="43" t="n">
        <v>542</v>
      </c>
      <c r="D19" s="43" t="n">
        <v>560</v>
      </c>
      <c r="E19" s="24" t="n"/>
      <c r="F19" s="24" t="n">
        <v>3300</v>
      </c>
      <c r="G19" s="44" t="n">
        <v>700</v>
      </c>
      <c r="H19" s="44" t="n"/>
      <c r="I19" s="44" t="n"/>
      <c r="J19" s="44" t="n"/>
      <c r="K19" s="44" t="n"/>
      <c r="L19" s="44" t="n"/>
    </row>
    <row r="20">
      <c r="A20" s="21" t="inlineStr">
        <is>
          <t>Avg rate $/NRSF</t>
        </is>
      </c>
      <c r="B20" s="45" t="n"/>
      <c r="C20" s="45" t="n">
        <v>16.74763438488299</v>
      </c>
      <c r="D20" s="45" t="n"/>
      <c r="E20" s="46" t="n"/>
      <c r="F20" s="46" t="n"/>
      <c r="G20" s="47" t="n"/>
      <c r="H20" s="47" t="n"/>
      <c r="I20" s="47" t="n"/>
      <c r="J20" s="47" t="n"/>
      <c r="K20" s="47" t="n"/>
      <c r="L20" s="47" t="n"/>
    </row>
    <row r="21">
      <c r="A21" s="21" t="inlineStr">
        <is>
          <t>Market population</t>
        </is>
      </c>
      <c r="B21" s="43" t="n">
        <v>250000</v>
      </c>
      <c r="C21" s="43" t="n">
        <v>250000</v>
      </c>
      <c r="D21" s="43" t="n">
        <v>269136</v>
      </c>
      <c r="E21" s="24">
        <f>IFERROR(VLOOKUP(E3,MarketTable,2,FALSE),"")</f>
        <v/>
      </c>
      <c r="F21" s="24" t="n">
        <v>250000</v>
      </c>
      <c r="G21" s="44" t="n">
        <v>250000</v>
      </c>
      <c r="H21" s="52" t="n">
        <v>260000</v>
      </c>
      <c r="I21" s="52" t="n">
        <v>150000</v>
      </c>
      <c r="J21" s="44">
        <f>IFERROR(VLOOKUP(J3,MarketTable,2,FALSE),"")</f>
        <v/>
      </c>
      <c r="K21" s="44">
        <f>IFERROR(VLOOKUP(K3,MarketTable,2,FALSE),"")</f>
        <v/>
      </c>
      <c r="L21" s="44">
        <f>IFERROR(VLOOKUP(L3,MarketTable,2,FALSE),"")</f>
        <v/>
      </c>
    </row>
    <row r="22">
      <c r="A22" s="21" t="inlineStr">
        <is>
          <t>5-yr pop growth</t>
        </is>
      </c>
      <c r="B22" s="41" t="n">
        <v>0.06</v>
      </c>
      <c r="C22" s="41" t="n">
        <v>0.06</v>
      </c>
      <c r="D22" s="41" t="n">
        <v>0.01955002884430485</v>
      </c>
      <c r="E22" s="23">
        <f>IFERROR(VLOOKUP(E3,MarketTable,3,FALSE),"")</f>
        <v/>
      </c>
      <c r="F22" s="23" t="n">
        <v>0.05</v>
      </c>
      <c r="G22" s="42" t="n">
        <v>0.05</v>
      </c>
      <c r="H22" s="51" t="n">
        <v>0.06</v>
      </c>
      <c r="I22" s="51" t="n">
        <v>-0.01</v>
      </c>
      <c r="J22" s="42">
        <f>IFERROR(VLOOKUP(J3,MarketTable,3,FALSE),"")</f>
        <v/>
      </c>
      <c r="K22" s="42">
        <f>IFERROR(VLOOKUP(K3,MarketTable,3,FALSE),"")</f>
        <v/>
      </c>
      <c r="L22" s="42">
        <f>IFERROR(VLOOKUP(L3,MarketTable,3,FALSE),"")</f>
        <v/>
      </c>
    </row>
    <row r="23">
      <c r="A23" s="21" t="inlineStr">
        <is>
          <t>Supply pipeline %</t>
        </is>
      </c>
      <c r="B23" s="41" t="n">
        <v>0.04</v>
      </c>
      <c r="C23" s="41" t="n">
        <v>0.04</v>
      </c>
      <c r="D23" s="41" t="n">
        <v>0.09363192916145506</v>
      </c>
      <c r="E23" s="23">
        <f>IFERROR(VLOOKUP(E3,MarketTable,4,FALSE),"")</f>
        <v/>
      </c>
      <c r="F23" s="23" t="n">
        <v>0.05</v>
      </c>
      <c r="G23" s="42" t="n">
        <v>0.05</v>
      </c>
      <c r="H23" s="51" t="n">
        <v>0.04</v>
      </c>
      <c r="I23" s="51" t="n">
        <v>0.15</v>
      </c>
      <c r="J23" s="42">
        <f>IFERROR(VLOOKUP(J3,MarketTable,4,FALSE),"")</f>
        <v/>
      </c>
      <c r="K23" s="42">
        <f>IFERROR(VLOOKUP(K3,MarketTable,4,FALSE),"")</f>
        <v/>
      </c>
      <c r="L23" s="42">
        <f>IFERROR(VLOOKUP(L3,MarketTable,4,FALSE),"")</f>
        <v/>
      </c>
    </row>
    <row r="24">
      <c r="A24" s="21" t="inlineStr">
        <is>
          <t>Market rank</t>
        </is>
      </c>
      <c r="B24" s="36" t="n"/>
      <c r="C24" s="36" t="n"/>
      <c r="D24" s="36" t="n">
        <v>23</v>
      </c>
      <c r="E24" s="37">
        <f>IFERROR(VLOOKUP(E3,MarketTable,5,FALSE),"")</f>
        <v/>
      </c>
      <c r="F24" s="37" t="n"/>
      <c r="G24" s="38" t="n"/>
      <c r="H24" s="38" t="n">
        <v>30</v>
      </c>
      <c r="I24" s="38" t="n">
        <v>220</v>
      </c>
      <c r="J24" s="38">
        <f>IFERROR(VLOOKUP(J3,MarketTable,5,FALSE),"")</f>
        <v/>
      </c>
      <c r="K24" s="38">
        <f>IFERROR(VLOOKUP(K3,MarketTable,5,FALSE),"")</f>
        <v/>
      </c>
      <c r="L24" s="38">
        <f>IFERROR(VLOOKUP(L3,MarketTable,5,FALSE),"")</f>
        <v/>
      </c>
    </row>
    <row r="25">
      <c r="A25" s="21" t="inlineStr">
        <is>
          <t>Market weighted score</t>
        </is>
      </c>
      <c r="B25" s="45" t="n"/>
      <c r="C25" s="45" t="n"/>
      <c r="D25" s="45" t="n">
        <v>0.5725815198758409</v>
      </c>
      <c r="E25" s="46">
        <f>IFERROR(VLOOKUP(E3,MarketTable,6,FALSE),"")</f>
        <v/>
      </c>
      <c r="F25" s="46" t="n"/>
      <c r="G25" s="47" t="n"/>
      <c r="H25" s="47" t="n">
        <v>0.62</v>
      </c>
      <c r="I25" s="47" t="n">
        <v>0.2</v>
      </c>
      <c r="J25" s="47">
        <f>IFERROR(VLOOKUP(J3,MarketTable,6,FALSE),"")</f>
        <v/>
      </c>
      <c r="K25" s="47">
        <f>IFERROR(VLOOKUP(K3,MarketTable,6,FALSE),"")</f>
        <v/>
      </c>
      <c r="L25" s="47">
        <f>IFERROR(VLOOKUP(L3,MarketTable,6,FALSE),"")</f>
        <v/>
      </c>
    </row>
    <row r="26">
      <c r="A26" s="21" t="inlineStr">
        <is>
          <t>Best IRR (calc)</t>
        </is>
      </c>
      <c r="B26" s="41">
        <f>IF(COUNT(B15:B16)=0,"",MAX(B15:B16))</f>
        <v/>
      </c>
      <c r="C26" s="41">
        <f>IF(COUNT(C15:C16)=0,"",MAX(C15:C16))</f>
        <v/>
      </c>
      <c r="D26" s="41">
        <f>IF(COUNT(D15:D16)=0,"",MAX(D15:D16))</f>
        <v/>
      </c>
      <c r="E26" s="23">
        <f>IF(COUNT(E15:E16)=0,"",MAX(E15:E16))</f>
        <v/>
      </c>
      <c r="F26" s="23">
        <f>IF(COUNT(F15:F16)=0,"",MAX(F15:F16))</f>
        <v/>
      </c>
      <c r="G26" s="42">
        <f>IF(COUNT(G15:G16)=0,"",MAX(G15:G16))</f>
        <v/>
      </c>
      <c r="H26" s="42">
        <f>IF(COUNT(H15:H16)=0,"",MAX(H15:H16))</f>
        <v/>
      </c>
      <c r="I26" s="42">
        <f>IF(COUNT(I15:I16)=0,"",MAX(I15:I16))</f>
        <v/>
      </c>
      <c r="J26" s="42">
        <f>IF(COUNT(J15:J16)=0,"",MAX(J15:J16))</f>
        <v/>
      </c>
      <c r="K26" s="42">
        <f>IF(COUNT(K15:K16)=0,"",MAX(K15:K16))</f>
        <v/>
      </c>
      <c r="L26" s="42">
        <f>IF(COUNT(L15:L16)=0,"",MAX(L15:L16))</f>
        <v/>
      </c>
    </row>
    <row r="27">
      <c r="A27" s="21" t="inlineStr">
        <is>
          <t>Underwriting yield (calc)</t>
        </is>
      </c>
      <c r="B27" s="41">
        <f>IF(B4=1,B13,B9)</f>
        <v/>
      </c>
      <c r="C27" s="41">
        <f>IF(C4=1,C13,C9)</f>
        <v/>
      </c>
      <c r="D27" s="41">
        <f>IF(D4=1,D13,D9)</f>
        <v/>
      </c>
      <c r="E27" s="23">
        <f>IF(E4=1,E13,E9)</f>
        <v/>
      </c>
      <c r="F27" s="23">
        <f>IF(F4=1,F13,F9)</f>
        <v/>
      </c>
      <c r="G27" s="42">
        <f>IF(G4=1,G13,G9)</f>
        <v/>
      </c>
      <c r="H27" s="42">
        <f>IF(H4=1,H13,H9)</f>
        <v/>
      </c>
      <c r="I27" s="42">
        <f>IF(I4=1,I13,I9)</f>
        <v/>
      </c>
      <c r="J27" s="42">
        <f>IF(J4=1,J13,J9)</f>
        <v/>
      </c>
      <c r="K27" s="42">
        <f>IF(K4=1,K13,K9)</f>
        <v/>
      </c>
      <c r="L27" s="42">
        <f>IF(L4=1,L13,L9)</f>
        <v/>
      </c>
    </row>
  </sheetData>
  <dataValidations count="2">
    <dataValidation sqref="E2:L2" showDropDown="0" showInputMessage="0" showErrorMessage="0" allowBlank="0" type="list">
      <formula1>"Income/Core (DST/Stabilized),Development"</formula1>
    </dataValidation>
    <dataValidation sqref="E3:L3" showDropDown="0" showInputMessage="0" showErrorMessage="0" allowBlank="1" prompt="Pick the deal's county" type="list">
      <formula1>MarketCounties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L14"/>
  <sheetViews>
    <sheetView workbookViewId="0">
      <selection activeCell="F22" sqref="F22"/>
    </sheetView>
  </sheetViews>
  <sheetFormatPr baseColWidth="8" defaultRowHeight="14.5"/>
  <cols>
    <col width="26" customWidth="1" style="54" min="1" max="1"/>
    <col width="15.26953125" bestFit="1" customWidth="1" style="54" min="2" max="2"/>
    <col width="13.7265625" bestFit="1" customWidth="1" style="54" min="3" max="3"/>
    <col width="22.7265625" bestFit="1" customWidth="1" style="54" min="4" max="4"/>
    <col width="10.453125" bestFit="1" customWidth="1" style="54" min="5" max="6"/>
    <col width="17.90625" customWidth="1" style="54" min="7" max="7"/>
    <col width="23.54296875" customWidth="1" style="54" min="8" max="8"/>
    <col width="23.453125" customWidth="1" style="54" min="9" max="9"/>
    <col width="16.08984375" customWidth="1" style="54" min="10" max="10"/>
    <col width="12.26953125" customWidth="1" style="54" min="11" max="11"/>
    <col width="14" customWidth="1" style="54" min="12" max="12"/>
  </cols>
  <sheetData>
    <row r="1">
      <c r="A1" s="8" t="inlineStr">
        <is>
          <t>Gate</t>
        </is>
      </c>
      <c r="B1" s="9">
        <f>Deals!B1</f>
        <v/>
      </c>
      <c r="C1" s="9">
        <f>Deals!C1</f>
        <v/>
      </c>
      <c r="D1" s="9">
        <f>Deals!D1</f>
        <v/>
      </c>
      <c r="E1" s="9">
        <f>Deals!E1</f>
        <v/>
      </c>
      <c r="F1" s="9">
        <f>Deals!F1</f>
        <v/>
      </c>
      <c r="G1" s="9">
        <f>Deals!G1</f>
        <v/>
      </c>
      <c r="H1" s="9">
        <f>Deals!H1</f>
        <v/>
      </c>
      <c r="I1" s="9">
        <f>Deals!I1</f>
        <v/>
      </c>
      <c r="J1" s="9">
        <f>Deals!J1</f>
        <v/>
      </c>
      <c r="K1" s="9">
        <f>Deals!K1</f>
        <v/>
      </c>
      <c r="L1" s="9">
        <f>Deals!L1</f>
        <v/>
      </c>
    </row>
    <row r="2">
      <c r="A2" s="3" t="inlineStr">
        <is>
          <t>IRR beats exit cap (max 15)</t>
        </is>
      </c>
      <c r="B2" s="10">
        <f>IF(OR(Deals!B26="",Deals!B10=""),0,IF(Deals!B26&gt;Deals!B10,15,0))</f>
        <v/>
      </c>
      <c r="C2" s="10">
        <f>IF(OR(Deals!C26="",Deals!C10=""),0,IF(Deals!C26&gt;Deals!C10,15,0))</f>
        <v/>
      </c>
      <c r="D2" s="10">
        <f>IF(OR(Deals!D26="",Deals!D10=""),0,IF(Deals!D26&gt;Deals!D10,15,0))</f>
        <v/>
      </c>
      <c r="E2" s="10">
        <f>IF(OR(Deals!E26="",Deals!E10=""),0,IF(Deals!E26&gt;Deals!E10,15,0))</f>
        <v/>
      </c>
      <c r="F2" s="10">
        <f>IF(OR(Deals!F26="",Deals!F10=""),0,IF(Deals!F26&gt;Deals!F10,15,0))</f>
        <v/>
      </c>
      <c r="G2" s="10">
        <f>IF(OR(Deals!G26="",Deals!G10=""),0,IF(Deals!G26&gt;Deals!G10,15,0))</f>
        <v/>
      </c>
      <c r="H2" s="10">
        <f>IF(OR(Deals!H26="",Deals!H10=""),0,IF(Deals!H26&gt;Deals!H10,15,0))</f>
        <v/>
      </c>
      <c r="I2" s="10">
        <f>IF(OR(Deals!I26="",Deals!I10=""),0,IF(Deals!I26&gt;Deals!I10,15,0))</f>
        <v/>
      </c>
      <c r="J2" s="10">
        <f>IF(OR(Deals!J26="",Deals!J10=""),0,IF(Deals!J26&gt;Deals!J10,15,0))</f>
        <v/>
      </c>
      <c r="K2" s="10">
        <f>IF(OR(Deals!K26="",Deals!K10=""),0,IF(Deals!K26&gt;Deals!K10,15,0))</f>
        <v/>
      </c>
      <c r="L2" s="10">
        <f>IF(OR(Deals!L26="",Deals!L10=""),0,IF(Deals!L26&gt;Deals!L10,15,0))</f>
        <v/>
      </c>
    </row>
    <row r="3">
      <c r="A3" s="3" t="inlineStr">
        <is>
          <t>Yield clears floor (max 15)</t>
        </is>
      </c>
      <c r="B3" s="10">
        <f>IF(Deals!B27="",0,IF(Deals!B27&gt;=0.075,15,IF(Deals!B27&gt;=0.065,7.5,0)))</f>
        <v/>
      </c>
      <c r="C3" s="10">
        <f>IF(Deals!C27="",0,IF(Deals!C27&gt;=0.075,15,IF(Deals!C27&gt;=0.065,7.5,0)))</f>
        <v/>
      </c>
      <c r="D3" s="10">
        <f>IF(Deals!D27="",0,IF(Deals!D27&gt;=0.075,15,IF(Deals!D27&gt;=0.065,7.5,0)))</f>
        <v/>
      </c>
      <c r="E3" s="10">
        <f>IF(Deals!E27="",0,IF(Deals!E27&gt;=0.075,15,IF(Deals!E27&gt;=0.065,7.5,0)))</f>
        <v/>
      </c>
      <c r="F3" s="10">
        <f>IF(Deals!F27="",0,IF(Deals!F27&gt;=0.075,15,IF(Deals!F27&gt;=0.065,7.5,0)))</f>
        <v/>
      </c>
      <c r="G3" s="10">
        <f>IF(Deals!G27="",0,IF(Deals!G27&gt;=0.075,15,IF(Deals!G27&gt;=0.065,7.5,0)))</f>
        <v/>
      </c>
      <c r="H3" s="10">
        <f>IF(Deals!H27="",0,IF(Deals!H27&gt;=0.075,15,IF(Deals!H27&gt;=0.065,7.5,0)))</f>
        <v/>
      </c>
      <c r="I3" s="10">
        <f>IF(Deals!I27="",0,IF(Deals!I27&gt;=0.075,15,IF(Deals!I27&gt;=0.065,7.5,0)))</f>
        <v/>
      </c>
      <c r="J3" s="10">
        <f>IF(Deals!J27="",0,IF(Deals!J27&gt;=0.075,15,IF(Deals!J27&gt;=0.065,7.5,0)))</f>
        <v/>
      </c>
      <c r="K3" s="10">
        <f>IF(Deals!K27="",0,IF(Deals!K27&gt;=0.075,15,IF(Deals!K27&gt;=0.065,7.5,0)))</f>
        <v/>
      </c>
      <c r="L3" s="10">
        <f>IF(Deals!L27="",0,IF(Deals!L27&gt;=0.075,15,IF(Deals!L27&gt;=0.065,7.5,0)))</f>
        <v/>
      </c>
    </row>
    <row r="4">
      <c r="A4" s="3" t="inlineStr">
        <is>
          <t>Op-ex in range (max 10)</t>
        </is>
      </c>
      <c r="B4" s="10">
        <f>IF(Deals!B12="",0,IF(Deals!B12&lt;=0.3,10,IF(Deals!B12&lt;=0.35,5,0)))</f>
        <v/>
      </c>
      <c r="C4" s="10">
        <f>IF(Deals!C12="",0,IF(Deals!C12&lt;=0.3,10,IF(Deals!C12&lt;=0.35,5,0)))</f>
        <v/>
      </c>
      <c r="D4" s="10">
        <f>IF(Deals!D12="",0,IF(Deals!D12&lt;=0.3,10,IF(Deals!D12&lt;=0.35,5,0)))</f>
        <v/>
      </c>
      <c r="E4" s="10">
        <f>IF(Deals!E12="",0,IF(Deals!E12&lt;=0.3,10,IF(Deals!E12&lt;=0.35,5,0)))</f>
        <v/>
      </c>
      <c r="F4" s="10">
        <f>IF(Deals!F12="",0,IF(Deals!F12&lt;=0.3,10,IF(Deals!F12&lt;=0.35,5,0)))</f>
        <v/>
      </c>
      <c r="G4" s="10">
        <f>IF(Deals!G12="",0,IF(Deals!G12&lt;=0.3,10,IF(Deals!G12&lt;=0.35,5,0)))</f>
        <v/>
      </c>
      <c r="H4" s="10">
        <f>IF(Deals!H12="",0,IF(Deals!H12&lt;=0.3,10,IF(Deals!H12&lt;=0.35,5,0)))</f>
        <v/>
      </c>
      <c r="I4" s="10">
        <f>IF(Deals!I12="",0,IF(Deals!I12&lt;=0.3,10,IF(Deals!I12&lt;=0.35,5,0)))</f>
        <v/>
      </c>
      <c r="J4" s="10">
        <f>IF(Deals!J12="",0,IF(Deals!J12&lt;=0.3,10,IF(Deals!J12&lt;=0.35,5,0)))</f>
        <v/>
      </c>
      <c r="K4" s="10">
        <f>IF(Deals!K12="",0,IF(Deals!K12&lt;=0.3,10,IF(Deals!K12&lt;=0.35,5,0)))</f>
        <v/>
      </c>
      <c r="L4" s="10">
        <f>IF(Deals!L12="",0,IF(Deals!L12&lt;=0.3,10,IF(Deals!L12&lt;=0.35,5,0)))</f>
        <v/>
      </c>
    </row>
    <row r="5">
      <c r="A5" s="3" t="inlineStr">
        <is>
          <t>Population ≥ 200k (max 12)</t>
        </is>
      </c>
      <c r="B5" s="10">
        <f>IF(Deals!B21="",0,IF(Deals!B21&gt;=200000,12,0))</f>
        <v/>
      </c>
      <c r="C5" s="10">
        <f>IF(Deals!C21="",0,IF(Deals!C21&gt;=200000,12,0))</f>
        <v/>
      </c>
      <c r="D5" s="10">
        <f>IF(Deals!D21="",0,IF(Deals!D21&gt;=200000,12,0))</f>
        <v/>
      </c>
      <c r="E5" s="10">
        <f>IF(Deals!E21="",0,IF(Deals!E21&gt;=200000,12,0))</f>
        <v/>
      </c>
      <c r="F5" s="10">
        <f>IF(Deals!F21="",0,IF(Deals!F21&gt;=200000,12,0))</f>
        <v/>
      </c>
      <c r="G5" s="10">
        <f>IF(Deals!G21="",0,IF(Deals!G21&gt;=200000,12,0))</f>
        <v/>
      </c>
      <c r="H5" s="10">
        <f>IF(Deals!H21="",0,IF(Deals!H21&gt;=200000,12,0))</f>
        <v/>
      </c>
      <c r="I5" s="10">
        <f>IF(Deals!I21="",0,IF(Deals!I21&gt;=200000,12,0))</f>
        <v/>
      </c>
      <c r="J5" s="10">
        <f>IF(Deals!J21="",0,IF(Deals!J21&gt;=200000,12,0))</f>
        <v/>
      </c>
      <c r="K5" s="10">
        <f>IF(Deals!K21="",0,IF(Deals!K21&gt;=200000,12,0))</f>
        <v/>
      </c>
      <c r="L5" s="10">
        <f>IF(Deals!L21="",0,IF(Deals!L21&gt;=200000,12,0))</f>
        <v/>
      </c>
    </row>
    <row r="6">
      <c r="A6" s="3" t="inlineStr">
        <is>
          <t>Positive pop growth (max 10)</t>
        </is>
      </c>
      <c r="B6" s="10">
        <f>IF(Deals!B22="",5,IF(Deals!B22&gt;=0.05,10,IF(Deals!B22&gt;0,5,0)))</f>
        <v/>
      </c>
      <c r="C6" s="10">
        <f>IF(Deals!C22="",5,IF(Deals!C22&gt;=0.05,10,IF(Deals!C22&gt;0,5,0)))</f>
        <v/>
      </c>
      <c r="D6" s="10">
        <f>IF(Deals!D22="",5,IF(Deals!D22&gt;=0.05,10,IF(Deals!D22&gt;0,5,0)))</f>
        <v/>
      </c>
      <c r="E6" s="10">
        <f>IF(Deals!E22="",5,IF(Deals!E22&gt;=0.05,10,IF(Deals!E22&gt;0,5,0)))</f>
        <v/>
      </c>
      <c r="F6" s="10">
        <f>IF(Deals!F22="",5,IF(Deals!F22&gt;=0.05,10,IF(Deals!F22&gt;0,5,0)))</f>
        <v/>
      </c>
      <c r="G6" s="10">
        <f>IF(Deals!G22="",5,IF(Deals!G22&gt;=0.05,10,IF(Deals!G22&gt;0,5,0)))</f>
        <v/>
      </c>
      <c r="H6" s="10">
        <f>IF(Deals!H22="",5,IF(Deals!H22&gt;=0.05,10,IF(Deals!H22&gt;0,5,0)))</f>
        <v/>
      </c>
      <c r="I6" s="10">
        <f>IF(Deals!I22="",5,IF(Deals!I22&gt;=0.05,10,IF(Deals!I22&gt;0,5,0)))</f>
        <v/>
      </c>
      <c r="J6" s="10">
        <f>IF(Deals!J22="",5,IF(Deals!J22&gt;=0.05,10,IF(Deals!J22&gt;0,5,0)))</f>
        <v/>
      </c>
      <c r="K6" s="10">
        <f>IF(Deals!K22="",5,IF(Deals!K22&gt;=0.05,10,IF(Deals!K22&gt;0,5,0)))</f>
        <v/>
      </c>
      <c r="L6" s="10">
        <f>IF(Deals!L22="",5,IF(Deals!L22&gt;=0.05,10,IF(Deals!L22&gt;0,5,0)))</f>
        <v/>
      </c>
    </row>
    <row r="7">
      <c r="A7" s="3" t="inlineStr">
        <is>
          <t>Pipeline contained (max 10)</t>
        </is>
      </c>
      <c r="B7" s="10">
        <f>IF(Deals!B23="",5,IF(Deals!B23&lt;=0.05,10,IF(Deals!B23&lt;=0.1,5,0)))</f>
        <v/>
      </c>
      <c r="C7" s="10">
        <f>IF(Deals!C23="",5,IF(Deals!C23&lt;=0.05,10,IF(Deals!C23&lt;=0.1,5,0)))</f>
        <v/>
      </c>
      <c r="D7" s="10">
        <f>IF(Deals!D23="",5,IF(Deals!D23&lt;=0.05,10,IF(Deals!D23&lt;=0.1,5,0)))</f>
        <v/>
      </c>
      <c r="E7" s="10">
        <f>IF(Deals!E23="",5,IF(Deals!E23&lt;=0.05,10,IF(Deals!E23&lt;=0.1,5,0)))</f>
        <v/>
      </c>
      <c r="F7" s="10">
        <f>IF(Deals!F23="",5,IF(Deals!F23&lt;=0.05,10,IF(Deals!F23&lt;=0.1,5,0)))</f>
        <v/>
      </c>
      <c r="G7" s="10">
        <f>IF(Deals!G23="",5,IF(Deals!G23&lt;=0.05,10,IF(Deals!G23&lt;=0.1,5,0)))</f>
        <v/>
      </c>
      <c r="H7" s="10">
        <f>IF(Deals!H23="",5,IF(Deals!H23&lt;=0.05,10,IF(Deals!H23&lt;=0.1,5,0)))</f>
        <v/>
      </c>
      <c r="I7" s="10">
        <f>IF(Deals!I23="",5,IF(Deals!I23&lt;=0.05,10,IF(Deals!I23&lt;=0.1,5,0)))</f>
        <v/>
      </c>
      <c r="J7" s="10">
        <f>IF(Deals!J23="",5,IF(Deals!J23&lt;=0.05,10,IF(Deals!J23&lt;=0.1,5,0)))</f>
        <v/>
      </c>
      <c r="K7" s="10">
        <f>IF(Deals!K23="",5,IF(Deals!K23&lt;=0.05,10,IF(Deals!K23&lt;=0.1,5,0)))</f>
        <v/>
      </c>
      <c r="L7" s="10">
        <f>IF(Deals!L23="",5,IF(Deals!L23&lt;=0.05,10,IF(Deals!L23&lt;=0.1,5,0)))</f>
        <v/>
      </c>
    </row>
    <row r="8">
      <c r="A8" s="3" t="inlineStr">
        <is>
          <t>Return clears target (max 13)</t>
        </is>
      </c>
      <c r="B8" s="10">
        <f>IF(Deals!B26="",0,IF(Deals!B26&gt;=IF(Deals!B4=1,0.15,0.1),13,IF(Deals!B26&gt;=IF(Deals!B4=1,0.12,0.07),6.5,0)))</f>
        <v/>
      </c>
      <c r="C8" s="10">
        <f>IF(Deals!C26="",0,IF(Deals!C26&gt;=IF(Deals!C4=1,0.15,0.1),13,IF(Deals!C26&gt;=IF(Deals!C4=1,0.12,0.07),6.5,0)))</f>
        <v/>
      </c>
      <c r="D8" s="10">
        <f>IF(Deals!D26="",0,IF(Deals!D26&gt;=IF(Deals!D4=1,0.15,0.1),13,IF(Deals!D26&gt;=IF(Deals!D4=1,0.12,0.07),6.5,0)))</f>
        <v/>
      </c>
      <c r="E8" s="10">
        <f>IF(Deals!E26="",0,IF(Deals!E26&gt;=IF(Deals!E4=1,0.15,0.1),13,IF(Deals!E26&gt;=IF(Deals!E4=1,0.12,0.07),6.5,0)))</f>
        <v/>
      </c>
      <c r="F8" s="10">
        <f>IF(Deals!F26="",0,IF(Deals!F26&gt;=IF(Deals!F4=1,0.15,0.1),13,IF(Deals!F26&gt;=IF(Deals!F4=1,0.12,0.07),6.5,0)))</f>
        <v/>
      </c>
      <c r="G8" s="10">
        <f>IF(Deals!G26="",0,IF(Deals!G26&gt;=IF(Deals!G4=1,0.15,0.1),13,IF(Deals!G26&gt;=IF(Deals!G4=1,0.12,0.07),6.5,0)))</f>
        <v/>
      </c>
      <c r="H8" s="10">
        <f>IF(Deals!H26="",0,IF(Deals!H26&gt;=IF(Deals!H4=1,0.15,0.1),13,IF(Deals!H26&gt;=IF(Deals!H4=1,0.12,0.07),6.5,0)))</f>
        <v/>
      </c>
      <c r="I8" s="10">
        <f>IF(Deals!I26="",0,IF(Deals!I26&gt;=IF(Deals!I4=1,0.15,0.1),13,IF(Deals!I26&gt;=IF(Deals!I4=1,0.12,0.07),6.5,0)))</f>
        <v/>
      </c>
      <c r="J8" s="10">
        <f>IF(Deals!J26="",0,IF(Deals!J26&gt;=IF(Deals!J4=1,0.15,0.1),13,IF(Deals!J26&gt;=IF(Deals!J4=1,0.12,0.07),6.5,0)))</f>
        <v/>
      </c>
      <c r="K8" s="10">
        <f>IF(Deals!K26="",0,IF(Deals!K26&gt;=IF(Deals!K4=1,0.15,0.1),13,IF(Deals!K26&gt;=IF(Deals!K4=1,0.12,0.07),6.5,0)))</f>
        <v/>
      </c>
      <c r="L8" s="10">
        <f>IF(Deals!L26="",0,IF(Deals!L26&gt;=IF(Deals!L4=1,0.15,0.1),13,IF(Deals!L26&gt;=IF(Deals!L4=1,0.12,0.07),6.5,0)))</f>
        <v/>
      </c>
    </row>
    <row r="9">
      <c r="A9" s="3" t="inlineStr">
        <is>
          <t>Market upper half (max 8)</t>
        </is>
      </c>
      <c r="B9" s="10">
        <f>IF(Deals!B24="",4,IF(Deals!B24&lt;=123,8,IF(Deals!B24&lt;=184,4,0)))</f>
        <v/>
      </c>
      <c r="C9" s="10">
        <f>IF(Deals!C24="",4,IF(Deals!C24&lt;=123,8,IF(Deals!C24&lt;=184,4,0)))</f>
        <v/>
      </c>
      <c r="D9" s="10">
        <f>IF(Deals!D24="",4,IF(Deals!D24&lt;=123,8,IF(Deals!D24&lt;=184,4,0)))</f>
        <v/>
      </c>
      <c r="E9" s="10">
        <f>IF(Deals!E24="",4,IF(Deals!E24&lt;=123,8,IF(Deals!E24&lt;=184,4,0)))</f>
        <v/>
      </c>
      <c r="F9" s="10">
        <f>IF(Deals!F24="",4,IF(Deals!F24&lt;=123,8,IF(Deals!F24&lt;=184,4,0)))</f>
        <v/>
      </c>
      <c r="G9" s="10">
        <f>IF(Deals!G24="",4,IF(Deals!G24&lt;=123,8,IF(Deals!G24&lt;=184,4,0)))</f>
        <v/>
      </c>
      <c r="H9" s="10">
        <f>IF(Deals!H24="",4,IF(Deals!H24&lt;=123,8,IF(Deals!H24&lt;=184,4,0)))</f>
        <v/>
      </c>
      <c r="I9" s="10">
        <f>IF(Deals!I24="",4,IF(Deals!I24&lt;=123,8,IF(Deals!I24&lt;=184,4,0)))</f>
        <v/>
      </c>
      <c r="J9" s="10">
        <f>IF(Deals!J24="",4,IF(Deals!J24&lt;=123,8,IF(Deals!J24&lt;=184,4,0)))</f>
        <v/>
      </c>
      <c r="K9" s="10">
        <f>IF(Deals!K24="",4,IF(Deals!K24&lt;=123,8,IF(Deals!K24&lt;=184,4,0)))</f>
        <v/>
      </c>
      <c r="L9" s="10">
        <f>IF(Deals!L24="",4,IF(Deals!L24&lt;=123,8,IF(Deals!L24&lt;=184,4,0)))</f>
        <v/>
      </c>
    </row>
    <row r="10">
      <c r="A10" s="3" t="inlineStr">
        <is>
          <t>Size near 75k NRSF (max 7)</t>
        </is>
      </c>
      <c r="B10" s="10">
        <f>IF(Deals!B17="",3.5,IF(AND(Deals!B17&gt;=40000,Deals!B17&lt;=120000),7,IF(AND(Deals!B17&gt;=25000,Deals!B17&lt;=150000),3.5,0)))</f>
        <v/>
      </c>
      <c r="C10" s="10">
        <f>IF(Deals!C17="",3.5,IF(AND(Deals!C17&gt;=40000,Deals!C17&lt;=120000),7,IF(AND(Deals!C17&gt;=25000,Deals!C17&lt;=150000),3.5,0)))</f>
        <v/>
      </c>
      <c r="D10" s="10">
        <f>IF(Deals!D17="",3.5,IF(AND(Deals!D17&gt;=40000,Deals!D17&lt;=120000),7,IF(AND(Deals!D17&gt;=25000,Deals!D17&lt;=150000),3.5,0)))</f>
        <v/>
      </c>
      <c r="E10" s="10">
        <f>IF(Deals!E17="",3.5,IF(AND(Deals!E17&gt;=40000,Deals!E17&lt;=120000),7,IF(AND(Deals!E17&gt;=25000,Deals!E17&lt;=150000),3.5,0)))</f>
        <v/>
      </c>
      <c r="F10" s="10">
        <f>IF(Deals!F17="",3.5,IF(AND(Deals!F17&gt;=40000,Deals!F17&lt;=120000),7,IF(AND(Deals!F17&gt;=25000,Deals!F17&lt;=150000),3.5,0)))</f>
        <v/>
      </c>
      <c r="G10" s="10">
        <f>IF(Deals!G17="",3.5,IF(AND(Deals!G17&gt;=40000,Deals!G17&lt;=120000),7,IF(AND(Deals!G17&gt;=25000,Deals!G17&lt;=150000),3.5,0)))</f>
        <v/>
      </c>
      <c r="H10" s="10">
        <f>IF(Deals!H17="",3.5,IF(AND(Deals!H17&gt;=40000,Deals!H17&lt;=120000),7,IF(AND(Deals!H17&gt;=25000,Deals!H17&lt;=150000),3.5,0)))</f>
        <v/>
      </c>
      <c r="I10" s="10">
        <f>IF(Deals!I17="",3.5,IF(AND(Deals!I17&gt;=40000,Deals!I17&lt;=120000),7,IF(AND(Deals!I17&gt;=25000,Deals!I17&lt;=150000),3.5,0)))</f>
        <v/>
      </c>
      <c r="J10" s="10">
        <f>IF(Deals!J17="",3.5,IF(AND(Deals!J17&gt;=40000,Deals!J17&lt;=120000),7,IF(AND(Deals!J17&gt;=25000,Deals!J17&lt;=150000),3.5,0)))</f>
        <v/>
      </c>
      <c r="K10" s="10">
        <f>IF(Deals!K17="",3.5,IF(AND(Deals!K17&gt;=40000,Deals!K17&lt;=120000),7,IF(AND(Deals!K17&gt;=25000,Deals!K17&lt;=150000),3.5,0)))</f>
        <v/>
      </c>
      <c r="L10" s="10">
        <f>IF(Deals!L17="",3.5,IF(AND(Deals!L17&gt;=40000,Deals!L17&lt;=120000),7,IF(AND(Deals!L17&gt;=25000,Deals!L17&lt;=150000),3.5,0)))</f>
        <v/>
      </c>
    </row>
    <row r="12">
      <c r="A12" s="3" t="inlineStr">
        <is>
          <t>TOTAL SCORE</t>
        </is>
      </c>
      <c r="B12" s="7">
        <f>SUM(B2:B10)</f>
        <v/>
      </c>
      <c r="C12" s="7">
        <f>SUM(C2:C10)</f>
        <v/>
      </c>
      <c r="D12" s="7">
        <f>SUM(D2:D10)</f>
        <v/>
      </c>
      <c r="E12" s="7">
        <f>SUM(E2:E10)</f>
        <v/>
      </c>
      <c r="F12" s="7">
        <f>SUM(F2:F10)</f>
        <v/>
      </c>
      <c r="G12" s="7">
        <f>SUM(G2:G10)</f>
        <v/>
      </c>
      <c r="H12" s="7">
        <f>SUM(H2:H10)</f>
        <v/>
      </c>
      <c r="I12" s="7">
        <f>SUM(I2:I10)</f>
        <v/>
      </c>
      <c r="J12" s="7">
        <f>SUM(J2:J10)</f>
        <v/>
      </c>
      <c r="K12" s="7">
        <f>SUM(K2:K10)</f>
        <v/>
      </c>
      <c r="L12" s="7">
        <f>SUM(L2:L10)</f>
        <v/>
      </c>
    </row>
    <row r="13">
      <c r="A13" s="3" t="inlineStr">
        <is>
          <t>Critical fail (1=veto)</t>
        </is>
      </c>
      <c r="B13" s="10">
        <f>IF(OR(IF(OR(Deals!B26="",Deals!B10=""),1,IF(Deals!B26&gt;Deals!B10,0,1))=1,IF(Deals!B27="",1,IF(Deals!B27&gt;=0.065,0,1))=1,IF(Deals!B21="",1,IF(Deals!B21&gt;=200000,0,1))=1),1,0)</f>
        <v/>
      </c>
      <c r="C13" s="10">
        <f>IF(OR(IF(OR(Deals!C26="",Deals!C10=""),1,IF(Deals!C26&gt;Deals!C10,0,1))=1,IF(Deals!C27="",1,IF(Deals!C27&gt;=0.065,0,1))=1,IF(Deals!C21="",1,IF(Deals!C21&gt;=200000,0,1))=1),1,0)</f>
        <v/>
      </c>
      <c r="D13" s="10">
        <f>IF(OR(IF(OR(Deals!D26="",Deals!D10=""),1,IF(Deals!D26&gt;Deals!D10,0,1))=1,IF(Deals!D27="",1,IF(Deals!D27&gt;=0.065,0,1))=1,IF(Deals!D21="",1,IF(Deals!D21&gt;=200000,0,1))=1),1,0)</f>
        <v/>
      </c>
      <c r="E13" s="10">
        <f>IF(OR(IF(OR(Deals!E26="",Deals!E10=""),1,IF(Deals!E26&gt;Deals!E10,0,1))=1,IF(Deals!E27="",1,IF(Deals!E27&gt;=0.065,0,1))=1,IF(Deals!E21="",1,IF(Deals!E21&gt;=200000,0,1))=1),1,0)</f>
        <v/>
      </c>
      <c r="F13" s="10">
        <f>IF(OR(IF(OR(Deals!F26="",Deals!F10=""),1,IF(Deals!F26&gt;Deals!F10,0,1))=1,IF(Deals!F27="",1,IF(Deals!F27&gt;=0.065,0,1))=1,IF(Deals!F21="",1,IF(Deals!F21&gt;=200000,0,1))=1),1,0)</f>
        <v/>
      </c>
      <c r="G13" s="10">
        <f>IF(OR(IF(OR(Deals!G26="",Deals!G10=""),1,IF(Deals!G26&gt;Deals!G10,0,1))=1,IF(Deals!G27="",1,IF(Deals!G27&gt;=0.065,0,1))=1,IF(Deals!G21="",1,IF(Deals!G21&gt;=200000,0,1))=1),1,0)</f>
        <v/>
      </c>
      <c r="H13" s="10">
        <f>IF(OR(IF(OR(Deals!H26="",Deals!H10=""),1,IF(Deals!H26&gt;Deals!H10,0,1))=1,IF(Deals!H27="",1,IF(Deals!H27&gt;=0.065,0,1))=1,IF(Deals!H21="",1,IF(Deals!H21&gt;=200000,0,1))=1),1,0)</f>
        <v/>
      </c>
      <c r="I13" s="10">
        <f>IF(OR(IF(OR(Deals!I26="",Deals!I10=""),1,IF(Deals!I26&gt;Deals!I10,0,1))=1,IF(Deals!I27="",1,IF(Deals!I27&gt;=0.065,0,1))=1,IF(Deals!I21="",1,IF(Deals!I21&gt;=200000,0,1))=1),1,0)</f>
        <v/>
      </c>
      <c r="J13" s="10">
        <f>IF(OR(IF(OR(Deals!J26="",Deals!J10=""),1,IF(Deals!J26&gt;Deals!J10,0,1))=1,IF(Deals!J27="",1,IF(Deals!J27&gt;=0.065,0,1))=1,IF(Deals!J21="",1,IF(Deals!J21&gt;=200000,0,1))=1),1,0)</f>
        <v/>
      </c>
      <c r="K13" s="10">
        <f>IF(OR(IF(OR(Deals!K26="",Deals!K10=""),1,IF(Deals!K26&gt;Deals!K10,0,1))=1,IF(Deals!K27="",1,IF(Deals!K27&gt;=0.065,0,1))=1,IF(Deals!K21="",1,IF(Deals!K21&gt;=200000,0,1))=1),1,0)</f>
        <v/>
      </c>
      <c r="L13" s="10">
        <f>IF(OR(IF(OR(Deals!L26="",Deals!L10=""),1,IF(Deals!L26&gt;Deals!L10,0,1))=1,IF(Deals!L27="",1,IF(Deals!L27&gt;=0.065,0,1))=1,IF(Deals!L21="",1,IF(Deals!L21&gt;=200000,0,1))=1),1,0)</f>
        <v/>
      </c>
    </row>
    <row r="14">
      <c r="A14" s="3" t="inlineStr">
        <is>
          <t>VERDICT</t>
        </is>
      </c>
      <c r="B14" s="7">
        <f>IF(B13=1,"NO-GO",IF(B12&gt;=70,"GO",IF(B12&gt;=50,"CONDITIONAL GO","NO-GO")))</f>
        <v/>
      </c>
      <c r="C14" s="7">
        <f>IF(C13=1,"NO-GO",IF(C12&gt;=70,"GO",IF(C12&gt;=50,"CONDITIONAL GO","NO-GO")))</f>
        <v/>
      </c>
      <c r="D14" s="7">
        <f>IF(D13=1,"NO-GO",IF(D12&gt;=70,"GO",IF(D12&gt;=50,"CONDITIONAL GO","NO-GO")))</f>
        <v/>
      </c>
      <c r="E14" s="7">
        <f>IF(E13=1,"NO-GO",IF(E12&gt;=70,"GO",IF(E12&gt;=50,"CONDITIONAL GO","NO-GO")))</f>
        <v/>
      </c>
      <c r="F14" s="7">
        <f>IF(F13=1,"NO-GO",IF(F12&gt;=70,"GO",IF(F12&gt;=50,"CONDITIONAL GO","NO-GO")))</f>
        <v/>
      </c>
      <c r="G14" s="7">
        <f>IF(G13=1,"NO-GO",IF(G12&gt;=70,"GO",IF(G12&gt;=50,"CONDITIONAL GO","NO-GO")))</f>
        <v/>
      </c>
      <c r="H14" s="7">
        <f>IF(H13=1,"NO-GO",IF(H12&gt;=70,"GO",IF(H12&gt;=50,"CONDITIONAL GO","NO-GO")))</f>
        <v/>
      </c>
      <c r="I14" s="7">
        <f>IF(I13=1,"NO-GO",IF(I12&gt;=70,"GO",IF(I12&gt;=50,"CONDITIONAL GO","NO-GO")))</f>
        <v/>
      </c>
      <c r="J14" s="7">
        <f>IF(J13=1,"NO-GO",IF(J12&gt;=70,"GO",IF(J12&gt;=50,"CONDITIONAL GO","NO-GO")))</f>
        <v/>
      </c>
      <c r="K14" s="7">
        <f>IF(K13=1,"NO-GO",IF(K12&gt;=70,"GO",IF(K12&gt;=50,"CONDITIONAL GO","NO-GO")))</f>
        <v/>
      </c>
      <c r="L14" s="7">
        <f>IF(L13=1,"NO-GO",IF(L12&gt;=70,"GO",IF(L12&gt;=50,"CONDITIONAL GO","NO-GO")))</f>
        <v/>
      </c>
    </row>
  </sheetData>
  <conditionalFormatting sqref="B14:L14">
    <cfRule type="cellIs" priority="1" operator="equal" dxfId="35">
      <formula>"GO"</formula>
    </cfRule>
    <cfRule type="cellIs" priority="2" operator="equal" dxfId="34">
      <formula>"CONDITIONAL GO"</formula>
    </cfRule>
    <cfRule type="cellIs" priority="3" operator="equal" dxfId="33">
      <formula>"NO-GO"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A1:D14"/>
  <sheetViews>
    <sheetView showGridLines="0" workbookViewId="0">
      <selection activeCell="H12" sqref="H10:H12"/>
    </sheetView>
  </sheetViews>
  <sheetFormatPr baseColWidth="8" defaultRowHeight="14.5"/>
  <cols>
    <col width="22" customWidth="1" style="54" min="1" max="1"/>
    <col width="30" customWidth="1" style="54" min="2" max="2"/>
    <col width="16" customWidth="1" style="54" min="3" max="4"/>
  </cols>
  <sheetData>
    <row r="1">
      <c r="A1" s="48" t="inlineStr">
        <is>
          <t xml:space="preserve">Go/No-Go Ranking </t>
        </is>
      </c>
    </row>
    <row r="3">
      <c r="A3" s="17" t="inlineStr">
        <is>
          <t>Deal</t>
        </is>
      </c>
      <c r="B3" s="17" t="inlineStr">
        <is>
          <t>Type</t>
        </is>
      </c>
      <c r="C3" s="17" t="inlineStr">
        <is>
          <t>Score</t>
        </is>
      </c>
      <c r="D3" s="17" t="inlineStr">
        <is>
          <t>Verdict</t>
        </is>
      </c>
    </row>
    <row r="4">
      <c r="A4" s="18">
        <f>Deals!B1</f>
        <v/>
      </c>
      <c r="B4" s="18" t="inlineStr">
        <is>
          <t>Income/Core (DST/Stabilized)</t>
        </is>
      </c>
      <c r="C4" s="19">
        <f>Scores!B12</f>
        <v/>
      </c>
      <c r="D4" s="20">
        <f>Scores!B14</f>
        <v/>
      </c>
    </row>
    <row r="5">
      <c r="A5" s="18">
        <f>Deals!C1</f>
        <v/>
      </c>
      <c r="B5" s="18" t="inlineStr">
        <is>
          <t>Development</t>
        </is>
      </c>
      <c r="C5" s="19">
        <f>Scores!C12</f>
        <v/>
      </c>
      <c r="D5" s="20">
        <f>Scores!C14</f>
        <v/>
      </c>
    </row>
    <row r="6">
      <c r="A6" s="18">
        <f>Deals!D1</f>
        <v/>
      </c>
      <c r="B6" s="18" t="inlineStr">
        <is>
          <t>Development</t>
        </is>
      </c>
      <c r="C6" s="19">
        <f>Scores!D12</f>
        <v/>
      </c>
      <c r="D6" s="20">
        <f>Scores!D14</f>
        <v/>
      </c>
    </row>
    <row r="7">
      <c r="A7" s="18">
        <f>Deals!E1</f>
        <v/>
      </c>
      <c r="B7" s="18">
        <f>Deals!E2</f>
        <v/>
      </c>
      <c r="C7" s="19">
        <f>Scores!E12</f>
        <v/>
      </c>
      <c r="D7" s="20">
        <f>Scores!E14</f>
        <v/>
      </c>
    </row>
    <row r="8">
      <c r="A8" s="18">
        <f>Deals!F1</f>
        <v/>
      </c>
      <c r="B8" s="18">
        <f>Deals!F2</f>
        <v/>
      </c>
      <c r="C8" s="19">
        <f>Scores!F12</f>
        <v/>
      </c>
      <c r="D8" s="20">
        <f>Scores!F14</f>
        <v/>
      </c>
    </row>
    <row r="9">
      <c r="A9" s="18">
        <f>Deals!G1</f>
        <v/>
      </c>
      <c r="B9" s="18">
        <f>Deals!G2</f>
        <v/>
      </c>
      <c r="C9" s="19">
        <f>Scores!G12</f>
        <v/>
      </c>
      <c r="D9" s="20">
        <f>Scores!G14</f>
        <v/>
      </c>
    </row>
    <row r="10">
      <c r="A10" s="18">
        <f>Deals!H1</f>
        <v/>
      </c>
      <c r="B10" s="18">
        <f>Deals!H2</f>
        <v/>
      </c>
      <c r="C10" s="19">
        <f>Scores!H12</f>
        <v/>
      </c>
      <c r="D10" s="20">
        <f>Scores!H14</f>
        <v/>
      </c>
    </row>
    <row r="11">
      <c r="A11" s="18">
        <f>Deals!I1</f>
        <v/>
      </c>
      <c r="B11" s="18">
        <f>Deals!I2</f>
        <v/>
      </c>
      <c r="C11" s="19">
        <f>Scores!I12</f>
        <v/>
      </c>
      <c r="D11" s="20">
        <f>Scores!I14</f>
        <v/>
      </c>
    </row>
    <row r="12">
      <c r="A12" s="18">
        <f>Deals!J1</f>
        <v/>
      </c>
      <c r="B12" s="18">
        <f>Deals!J2</f>
        <v/>
      </c>
      <c r="C12" s="19">
        <f>Scores!J12</f>
        <v/>
      </c>
      <c r="D12" s="20">
        <f>Scores!J14</f>
        <v/>
      </c>
    </row>
    <row r="13">
      <c r="A13" s="18">
        <f>Deals!K1</f>
        <v/>
      </c>
      <c r="B13" s="18">
        <f>Deals!K2</f>
        <v/>
      </c>
      <c r="C13" s="19">
        <f>Scores!K12</f>
        <v/>
      </c>
      <c r="D13" s="20">
        <f>Scores!K14</f>
        <v/>
      </c>
    </row>
    <row r="14">
      <c r="A14" s="18">
        <f>Deals!L1</f>
        <v/>
      </c>
      <c r="B14" s="18">
        <f>Deals!L2</f>
        <v/>
      </c>
      <c r="C14" s="19">
        <f>Scores!L12</f>
        <v/>
      </c>
      <c r="D14" s="20">
        <f>Scores!L14</f>
        <v/>
      </c>
    </row>
  </sheetData>
  <conditionalFormatting sqref="D4:D14">
    <cfRule type="cellIs" priority="1" operator="equal" dxfId="35">
      <formula>"GO"</formula>
    </cfRule>
    <cfRule type="cellIs" priority="2" operator="equal" dxfId="34">
      <formula>"CONDITIONAL GO"</formula>
    </cfRule>
    <cfRule type="cellIs" priority="3" operator="equal" dxfId="33">
      <formula>"NO-GO"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M61"/>
  <sheetViews>
    <sheetView showGridLines="0" workbookViewId="0">
      <pane ySplit="1" topLeftCell="A2" activePane="bottomLeft" state="frozen"/>
      <selection pane="bottomLeft" activeCell="O5" sqref="O5"/>
    </sheetView>
  </sheetViews>
  <sheetFormatPr baseColWidth="8" defaultRowHeight="14.5"/>
  <cols>
    <col width="2.81640625" bestFit="1" customWidth="1" style="54" min="1" max="1"/>
    <col width="15.54296875" bestFit="1" customWidth="1" style="54" min="2" max="2"/>
    <col width="44.26953125" bestFit="1" customWidth="1" style="54" min="3" max="3"/>
    <col width="26.7265625" bestFit="1" customWidth="1" style="54" min="4" max="4"/>
    <col width="10.1796875" bestFit="1" customWidth="1" style="54" min="5" max="5"/>
    <col width="11" bestFit="1" customWidth="1" style="54" min="6" max="6"/>
    <col width="9.90625" bestFit="1" customWidth="1" style="54" min="7" max="7"/>
    <col width="6.08984375" bestFit="1" customWidth="1" style="54" min="8" max="8"/>
    <col width="7.6328125" bestFit="1" customWidth="1" style="54" min="9" max="9"/>
    <col width="9.81640625" bestFit="1" customWidth="1" style="54" min="10" max="10"/>
    <col width="10.453125" bestFit="1" customWidth="1" style="54" min="11" max="11"/>
    <col width="7.7265625" customWidth="1" style="54" min="12" max="12"/>
    <col width="5.54296875" bestFit="1" customWidth="1" style="54" min="13" max="13"/>
  </cols>
  <sheetData>
    <row r="1">
      <c r="A1" s="9" t="inlineStr">
        <is>
          <t>Rank</t>
        </is>
      </c>
      <c r="B1" s="9" t="inlineStr">
        <is>
          <t>State</t>
        </is>
      </c>
      <c r="C1" s="9" t="inlineStr">
        <is>
          <t>CBSA</t>
        </is>
      </c>
      <c r="D1" s="9" t="inlineStr">
        <is>
          <t>County / City</t>
        </is>
      </c>
      <c r="E1" s="9" t="inlineStr">
        <is>
          <t>Population</t>
        </is>
      </c>
      <c r="F1" s="9" t="inlineStr">
        <is>
          <t>5-yr Growth</t>
        </is>
      </c>
      <c r="G1" s="9" t="inlineStr">
        <is>
          <t>Pipeline %</t>
        </is>
      </c>
      <c r="H1" s="9" t="inlineStr">
        <is>
          <t>Op-ex</t>
        </is>
      </c>
      <c r="I1" s="9" t="inlineStr">
        <is>
          <t>Exit Cap</t>
        </is>
      </c>
      <c r="J1" s="9" t="inlineStr">
        <is>
          <t>Yield/Cost</t>
        </is>
      </c>
      <c r="K1" s="9" t="inlineStr">
        <is>
          <t>Dev Spread</t>
        </is>
      </c>
      <c r="L1" s="9" t="inlineStr">
        <is>
          <t>IRR</t>
        </is>
      </c>
      <c r="M1" s="9" t="inlineStr">
        <is>
          <t>Score</t>
        </is>
      </c>
    </row>
    <row r="2">
      <c r="A2" s="10" t="n">
        <v>1</v>
      </c>
      <c r="B2" s="10" t="inlineStr">
        <is>
          <t>New York</t>
        </is>
      </c>
      <c r="C2" s="10" t="inlineStr">
        <is>
          <t>New York-Newark-Jersey City, NY-NJ</t>
        </is>
      </c>
      <c r="D2" s="15" t="inlineStr">
        <is>
          <t>Staten Island</t>
        </is>
      </c>
      <c r="E2" s="13" t="n">
        <v>498212</v>
      </c>
      <c r="F2" s="12" t="n">
        <v>0.001564794299483148</v>
      </c>
      <c r="G2" s="12" t="n">
        <v>0.02268289516625149</v>
      </c>
      <c r="H2" s="12" t="n">
        <v>0.1805129870028726</v>
      </c>
      <c r="I2" s="12" t="n">
        <v>0.05730916030534351</v>
      </c>
      <c r="J2" s="12" t="n">
        <v>0.1278515203448444</v>
      </c>
      <c r="K2" s="12" t="n">
        <v>705.4236003950091</v>
      </c>
      <c r="L2" s="12" t="n">
        <v>0.2759167116800139</v>
      </c>
      <c r="M2" s="16" t="n">
        <v>0.7046616155989541</v>
      </c>
    </row>
    <row r="3" ht="29" customHeight="1" s="54">
      <c r="A3" s="10" t="n">
        <v>2</v>
      </c>
      <c r="B3" s="10" t="inlineStr">
        <is>
          <t>Maryland</t>
        </is>
      </c>
      <c r="C3" s="10" t="inlineStr">
        <is>
          <t>Washington-Arlington-Alexandria, DC-VA-MD-WV</t>
        </is>
      </c>
      <c r="D3" s="15" t="inlineStr">
        <is>
          <t>Montgomery County, Maryland</t>
        </is>
      </c>
      <c r="E3" s="13" t="n">
        <v>1082273</v>
      </c>
      <c r="F3" s="12" t="n">
        <v>0.005047103471159139</v>
      </c>
      <c r="G3" s="12" t="n">
        <v>0.1015749049357477</v>
      </c>
      <c r="H3" s="12" t="n">
        <v>0.2326165770700619</v>
      </c>
      <c r="I3" s="12" t="n">
        <v>0.06744623655913978</v>
      </c>
      <c r="J3" s="12" t="n">
        <v>0.1838486582892518</v>
      </c>
      <c r="K3" s="12" t="n">
        <v>1164.024217301121</v>
      </c>
      <c r="L3" s="12" t="n">
        <v>0.3526462647524546</v>
      </c>
      <c r="M3" s="16" t="n">
        <v>0.651156009704315</v>
      </c>
    </row>
    <row r="4" ht="29" customHeight="1" s="54">
      <c r="A4" s="10" t="n">
        <v>3</v>
      </c>
      <c r="B4" s="10" t="inlineStr">
        <is>
          <t>Massachusetts</t>
        </is>
      </c>
      <c r="C4" s="10" t="inlineStr">
        <is>
          <t>Boston-Cambridge-Newton, MA-NH</t>
        </is>
      </c>
      <c r="D4" s="15" t="inlineStr">
        <is>
          <t>Suffolk County, Massachusetts</t>
        </is>
      </c>
      <c r="E4" s="13" t="n">
        <v>793144</v>
      </c>
      <c r="F4" s="12" t="n">
        <v>-0.001284119316792079</v>
      </c>
      <c r="G4" s="12" t="n">
        <v>0.1554615283059295</v>
      </c>
      <c r="H4" s="12" t="n">
        <v>0.2380714756056015</v>
      </c>
      <c r="I4" s="12" t="n">
        <v>0.06100877192982457</v>
      </c>
      <c r="J4" s="12" t="n">
        <v>0.1638879886144329</v>
      </c>
      <c r="K4" s="12" t="n">
        <v>1028.792166846084</v>
      </c>
      <c r="L4" s="12" t="n">
        <v>0.3405884045876195</v>
      </c>
      <c r="M4" s="16" t="n">
        <v>0.6438461102931303</v>
      </c>
    </row>
    <row r="5" ht="22" customHeight="1" s="54">
      <c r="A5" s="10" t="n">
        <v>4</v>
      </c>
      <c r="B5" s="10" t="inlineStr">
        <is>
          <t>Washington, D.C.</t>
        </is>
      </c>
      <c r="C5" s="10" t="inlineStr">
        <is>
          <t>Washington-Arlington-Alexandria, DC-VA-MD-WV</t>
        </is>
      </c>
      <c r="D5" s="15" t="inlineStr">
        <is>
          <t>Washington, D.C.</t>
        </is>
      </c>
      <c r="E5" s="13" t="n">
        <v>702250</v>
      </c>
      <c r="F5" s="12" t="n">
        <v>0.0116754382434787</v>
      </c>
      <c r="G5" s="12" t="n">
        <v>0.09187401141398979</v>
      </c>
      <c r="H5" s="12" t="n">
        <v>0.2745088762645346</v>
      </c>
      <c r="I5" s="12" t="n">
        <v>0.06436274509803921</v>
      </c>
      <c r="J5" s="12" t="n">
        <v>0.1070919420619297</v>
      </c>
      <c r="K5" s="12" t="n">
        <v>427.2919696389048</v>
      </c>
      <c r="L5" s="12" t="n">
        <v>0.1835865856533005</v>
      </c>
      <c r="M5" s="16" t="n">
        <v>0.6426991139265605</v>
      </c>
    </row>
    <row r="6" ht="26" customHeight="1" s="54">
      <c r="A6" s="10" t="n">
        <v>5</v>
      </c>
      <c r="B6" s="10" t="inlineStr">
        <is>
          <t>Virginia</t>
        </is>
      </c>
      <c r="C6" s="10" t="inlineStr">
        <is>
          <t>Washington-Arlington-Alexandria, DC-VA-MD-WV</t>
        </is>
      </c>
      <c r="D6" s="15" t="inlineStr">
        <is>
          <t>Arlington County, Virginia</t>
        </is>
      </c>
      <c r="E6" s="13" t="n">
        <v>239807</v>
      </c>
      <c r="F6" s="12" t="n">
        <v>0.001023745022589384</v>
      </c>
      <c r="G6" s="12" t="n">
        <v>0.1017281794254757</v>
      </c>
      <c r="H6" s="12" t="n">
        <v>0.2485162980394106</v>
      </c>
      <c r="I6" s="12" t="n">
        <v>0.06861111111111112</v>
      </c>
      <c r="J6" s="12" t="n">
        <v>0.1444597663887343</v>
      </c>
      <c r="K6" s="12" t="n">
        <v>758.4865527762319</v>
      </c>
      <c r="L6" s="12" t="n">
        <v>0.2635926317889759</v>
      </c>
      <c r="M6" s="16" t="n">
        <v>0.6109606134417676</v>
      </c>
    </row>
    <row r="7" ht="29" customHeight="1" s="54">
      <c r="A7" s="10" t="n">
        <v>6</v>
      </c>
      <c r="B7" s="10" t="inlineStr">
        <is>
          <t>Massachusetts</t>
        </is>
      </c>
      <c r="C7" s="10" t="inlineStr">
        <is>
          <t>Boston-Cambridge-Newton, MA-NH</t>
        </is>
      </c>
      <c r="D7" s="15" t="inlineStr">
        <is>
          <t>Middlesex County, Massachusetts</t>
        </is>
      </c>
      <c r="E7" s="13" t="n">
        <v>1668956</v>
      </c>
      <c r="F7" s="12" t="n">
        <v>0.006355762980330282</v>
      </c>
      <c r="G7" s="12" t="n">
        <v>0.06888672077566331</v>
      </c>
      <c r="H7" s="12" t="n">
        <v>0.2704329841326351</v>
      </c>
      <c r="I7" s="12" t="n">
        <v>0.06151785714285714</v>
      </c>
      <c r="J7" s="12" t="n">
        <v>0.1374610283953508</v>
      </c>
      <c r="K7" s="12" t="n">
        <v>759.4317125249365</v>
      </c>
      <c r="L7" s="12" t="n">
        <v>0.2756475577468709</v>
      </c>
      <c r="M7" s="16" t="n">
        <v>0.6088969606510662</v>
      </c>
    </row>
    <row r="8">
      <c r="A8" s="10" t="n">
        <v>7</v>
      </c>
      <c r="B8" s="10" t="inlineStr">
        <is>
          <t>New Jersey</t>
        </is>
      </c>
      <c r="C8" s="10" t="inlineStr">
        <is>
          <t>New York-Newark-Jersey City, NY-NJ</t>
        </is>
      </c>
      <c r="D8" s="15" t="inlineStr">
        <is>
          <t>Essex County, New Jersey</t>
        </is>
      </c>
      <c r="E8" s="13" t="n">
        <v>881527</v>
      </c>
      <c r="F8" s="12" t="n">
        <v>0.006251889490942071</v>
      </c>
      <c r="G8" s="12" t="n">
        <v>0.1245908582782475</v>
      </c>
      <c r="H8" s="12" t="n">
        <v>0.2878684033319364</v>
      </c>
      <c r="I8" s="12" t="n">
        <v>0.06027777777777778</v>
      </c>
      <c r="J8" s="12" t="n">
        <v>0.1111454514603118</v>
      </c>
      <c r="K8" s="12" t="n">
        <v>508.67673682534</v>
      </c>
      <c r="L8" s="12" t="n">
        <v>0.2114777578746507</v>
      </c>
      <c r="M8" s="16" t="n">
        <v>0.6038640649242107</v>
      </c>
    </row>
    <row r="9">
      <c r="A9" s="10" t="n">
        <v>8</v>
      </c>
      <c r="B9" s="10" t="inlineStr">
        <is>
          <t>Washington</t>
        </is>
      </c>
      <c r="C9" s="10" t="inlineStr">
        <is>
          <t>Seattle-Tacoma-Bellevue, WA</t>
        </is>
      </c>
      <c r="D9" s="15" t="inlineStr">
        <is>
          <t>King County, Washington</t>
        </is>
      </c>
      <c r="E9" s="13" t="n">
        <v>2340211</v>
      </c>
      <c r="F9" s="12" t="n">
        <v>0.007239654072440069</v>
      </c>
      <c r="G9" s="12" t="n">
        <v>0.0581622445878884</v>
      </c>
      <c r="H9" s="12" t="n">
        <v>0.279706972375394</v>
      </c>
      <c r="I9" s="12" t="n">
        <v>0.06287383177570094</v>
      </c>
      <c r="J9" s="12" t="n">
        <v>0.1087437246585944</v>
      </c>
      <c r="K9" s="12" t="n">
        <v>458.6989288289346</v>
      </c>
      <c r="L9" s="12" t="n">
        <v>0.1938550314372096</v>
      </c>
      <c r="M9" s="16" t="n">
        <v>0.60206853302861</v>
      </c>
    </row>
    <row r="10" ht="29" customHeight="1" s="54">
      <c r="A10" s="10" t="n">
        <v>9</v>
      </c>
      <c r="B10" s="10" t="inlineStr">
        <is>
          <t>Washington</t>
        </is>
      </c>
      <c r="C10" s="10" t="inlineStr">
        <is>
          <t>Seattle-Tacoma-Bellevue, WA</t>
        </is>
      </c>
      <c r="D10" s="15" t="inlineStr">
        <is>
          <t>Snohomish County, Washington</t>
        </is>
      </c>
      <c r="E10" s="13" t="n">
        <v>864113</v>
      </c>
      <c r="F10" s="12" t="n">
        <v>0.01028283984457363</v>
      </c>
      <c r="G10" s="12" t="n">
        <v>0.03019893420276914</v>
      </c>
      <c r="H10" s="12" t="n">
        <v>0.3027653502209754</v>
      </c>
      <c r="I10" s="12" t="n">
        <v>0.06345238095238095</v>
      </c>
      <c r="J10" s="12" t="n">
        <v>0.1258751418038474</v>
      </c>
      <c r="K10" s="12" t="n">
        <v>624.2276085146648</v>
      </c>
      <c r="L10" s="12" t="n">
        <v>0.2362876305642236</v>
      </c>
      <c r="M10" s="16" t="n">
        <v>0.5929860965149296</v>
      </c>
    </row>
    <row r="11">
      <c r="A11" s="10" t="n">
        <v>10</v>
      </c>
      <c r="B11" s="10" t="inlineStr">
        <is>
          <t>Virginia</t>
        </is>
      </c>
      <c r="C11" s="10" t="inlineStr">
        <is>
          <t>Washington-Arlington-Alexandria, DC-VA-MD-WV</t>
        </is>
      </c>
      <c r="D11" s="15" t="inlineStr">
        <is>
          <t>Fairfax County, Virginia</t>
        </is>
      </c>
      <c r="E11" s="13" t="n">
        <v>1160925</v>
      </c>
      <c r="F11" s="12" t="n">
        <v>0.002665015496047637</v>
      </c>
      <c r="G11" s="12" t="n">
        <v>0.08403030816816287</v>
      </c>
      <c r="H11" s="12" t="n">
        <v>0.2941164209743926</v>
      </c>
      <c r="I11" s="12" t="n">
        <v>0.06782608695652173</v>
      </c>
      <c r="J11" s="12" t="n">
        <v>0.1320383831099666</v>
      </c>
      <c r="K11" s="12" t="n">
        <v>642.1229615344487</v>
      </c>
      <c r="L11" s="12" t="n">
        <v>0.2347700685235743</v>
      </c>
      <c r="M11" s="16" t="n">
        <v>0.5927625432506428</v>
      </c>
    </row>
    <row r="12" ht="29" customHeight="1" s="54">
      <c r="A12" s="10" t="n">
        <v>11</v>
      </c>
      <c r="B12" s="10" t="inlineStr">
        <is>
          <t>Massachusetts</t>
        </is>
      </c>
      <c r="C12" s="10" t="inlineStr">
        <is>
          <t>Barnstable Town, MA</t>
        </is>
      </c>
      <c r="D12" s="15" t="inlineStr">
        <is>
          <t>Barnstable County, Massachusetts</t>
        </is>
      </c>
      <c r="E12" s="13" t="n">
        <v>232570</v>
      </c>
      <c r="F12" s="12" t="n">
        <v>0.004943874419012541</v>
      </c>
      <c r="G12" s="12" t="n">
        <v>0.02428465054572372</v>
      </c>
      <c r="H12" s="12" t="n">
        <v>0.2480893348346312</v>
      </c>
      <c r="I12" s="12" t="n">
        <v>0.06224828375286041</v>
      </c>
      <c r="J12" s="12" t="n">
        <v>0.1756601115783924</v>
      </c>
      <c r="K12" s="12" t="n">
        <v>1134.11827825532</v>
      </c>
      <c r="L12" s="12" t="n">
        <v>0.3583891399462706</v>
      </c>
      <c r="M12" s="16" t="n">
        <v>0.5904249984947876</v>
      </c>
    </row>
    <row r="13">
      <c r="A13" s="10" t="n">
        <v>12</v>
      </c>
      <c r="B13" s="10" t="inlineStr">
        <is>
          <t>Arizona</t>
        </is>
      </c>
      <c r="C13" s="10" t="inlineStr">
        <is>
          <t>Phoenix-Mesa-Chandler, AZ</t>
        </is>
      </c>
      <c r="D13" s="15" t="inlineStr">
        <is>
          <t>Pinal County, Arizona</t>
        </is>
      </c>
      <c r="E13" s="13" t="n">
        <v>513862</v>
      </c>
      <c r="F13" s="12" t="n">
        <v>0.04860906109299347</v>
      </c>
      <c r="G13" s="12" t="n">
        <v>0.1948575211565201</v>
      </c>
      <c r="H13" s="12" t="n">
        <v>0.3641494014068134</v>
      </c>
      <c r="I13" s="12" t="n">
        <v>0.06943181818181818</v>
      </c>
      <c r="J13" s="12" t="n">
        <v>0.08552202679303267</v>
      </c>
      <c r="K13" s="12" t="n">
        <v>160.9020861121449</v>
      </c>
      <c r="L13" s="12" t="n">
        <v>0.09387633996741696</v>
      </c>
      <c r="M13" s="16" t="n">
        <v>0.5886730050143161</v>
      </c>
    </row>
    <row r="14">
      <c r="A14" s="10" t="n">
        <v>13</v>
      </c>
      <c r="B14" s="10" t="inlineStr">
        <is>
          <t>Colorado</t>
        </is>
      </c>
      <c r="C14" s="10" t="inlineStr">
        <is>
          <t>Denver-Aurora-Centennial, CO</t>
        </is>
      </c>
      <c r="D14" s="15" t="inlineStr">
        <is>
          <t>Adams County, Colorado</t>
        </is>
      </c>
      <c r="E14" s="13" t="n">
        <v>542973</v>
      </c>
      <c r="F14" s="12" t="n">
        <v>0.010785430639153</v>
      </c>
      <c r="G14" s="12" t="n">
        <v>0.006098263826130252</v>
      </c>
      <c r="H14" s="12" t="n">
        <v>0.2938485118119438</v>
      </c>
      <c r="I14" s="12" t="n">
        <v>0.06782608695652173</v>
      </c>
      <c r="J14" s="12" t="n">
        <v>0.1023159280415974</v>
      </c>
      <c r="K14" s="12" t="n">
        <v>344.8984108507568</v>
      </c>
      <c r="L14" s="12" t="n">
        <v>0.155141616843627</v>
      </c>
      <c r="M14" s="16" t="n">
        <v>0.5886267543725423</v>
      </c>
    </row>
    <row r="15">
      <c r="A15" s="10" t="n">
        <v>14</v>
      </c>
      <c r="B15" s="10" t="inlineStr">
        <is>
          <t>New York</t>
        </is>
      </c>
      <c r="C15" s="10" t="inlineStr">
        <is>
          <t>New York-Newark-Jersey City, NY-NJ</t>
        </is>
      </c>
      <c r="D15" s="15" t="inlineStr">
        <is>
          <t>Nassau County, New York</t>
        </is>
      </c>
      <c r="E15" s="13" t="n">
        <v>1392438</v>
      </c>
      <c r="F15" s="12" t="n">
        <v>0.000333313197908217</v>
      </c>
      <c r="G15" s="12" t="n">
        <v>0.04265993027753558</v>
      </c>
      <c r="H15" s="12" t="n">
        <v>0.249702867614231</v>
      </c>
      <c r="I15" s="12" t="n">
        <v>0.05730916030534351</v>
      </c>
      <c r="J15" s="12" t="n">
        <v>0.1250726610917182</v>
      </c>
      <c r="K15" s="12" t="n">
        <v>677.6350078637473</v>
      </c>
      <c r="L15" s="12" t="n">
        <v>0.2649807665063288</v>
      </c>
      <c r="M15" s="16" t="n">
        <v>0.5877887238311725</v>
      </c>
    </row>
    <row r="16" ht="29" customHeight="1" s="54">
      <c r="A16" s="10" t="n">
        <v>15</v>
      </c>
      <c r="B16" s="10" t="inlineStr">
        <is>
          <t>New York</t>
        </is>
      </c>
      <c r="C16" s="10" t="inlineStr">
        <is>
          <t>New York-Newark-Jersey City, NY-NJ</t>
        </is>
      </c>
      <c r="D16" s="15" t="inlineStr">
        <is>
          <t>Westchester County, New York</t>
        </is>
      </c>
      <c r="E16" s="13" t="n">
        <v>1006447</v>
      </c>
      <c r="F16" s="12" t="n">
        <v>0.00123765712853561</v>
      </c>
      <c r="G16" s="12" t="n">
        <v>0.2281506626864526</v>
      </c>
      <c r="H16" s="12" t="n">
        <v>0.2467905093539095</v>
      </c>
      <c r="I16" s="12" t="n">
        <v>0.0598109243697479</v>
      </c>
      <c r="J16" s="12" t="n">
        <v>0.1553415961983399</v>
      </c>
      <c r="K16" s="12" t="n">
        <v>955.3067182859197</v>
      </c>
      <c r="L16" s="12" t="n">
        <v>0.3266086148447993</v>
      </c>
      <c r="M16" s="16" t="n">
        <v>0.5815342823826202</v>
      </c>
    </row>
    <row r="17">
      <c r="A17" s="10" t="n">
        <v>16</v>
      </c>
      <c r="B17" s="10" t="inlineStr">
        <is>
          <t>Colorado</t>
        </is>
      </c>
      <c r="C17" s="10" t="inlineStr">
        <is>
          <t>Denver-Aurora-Centennial, CO</t>
        </is>
      </c>
      <c r="D17" s="15" t="inlineStr">
        <is>
          <t>Douglas County, Colorado</t>
        </is>
      </c>
      <c r="E17" s="13" t="n">
        <v>393995</v>
      </c>
      <c r="F17" s="12" t="n">
        <v>0.0233593374906682</v>
      </c>
      <c r="G17" s="12" t="n">
        <v>0.03680884561651971</v>
      </c>
      <c r="H17" s="12" t="n">
        <v>0.369620791523993</v>
      </c>
      <c r="I17" s="12" t="n">
        <v>0.06782608695652173</v>
      </c>
      <c r="J17" s="12" t="n">
        <v>0.08721038290359161</v>
      </c>
      <c r="K17" s="12" t="n">
        <v>193.8429594706988</v>
      </c>
      <c r="L17" s="12" t="n">
        <v>0.1046661184359061</v>
      </c>
      <c r="M17" s="16" t="n">
        <v>0.5805322235777691</v>
      </c>
    </row>
    <row r="18">
      <c r="A18" s="10" t="n">
        <v>17</v>
      </c>
      <c r="B18" s="10" t="inlineStr">
        <is>
          <t>Maryland</t>
        </is>
      </c>
      <c r="C18" s="10" t="inlineStr">
        <is>
          <t>Baltimore-Columbia-Towson, MD</t>
        </is>
      </c>
      <c r="D18" s="15" t="inlineStr">
        <is>
          <t>Howard County, Maryland</t>
        </is>
      </c>
      <c r="E18" s="13" t="n">
        <v>339668</v>
      </c>
      <c r="F18" s="12" t="n">
        <v>0.005143155029280004</v>
      </c>
      <c r="G18" s="12" t="n">
        <v>0.1197228575501666</v>
      </c>
      <c r="H18" s="12" t="n">
        <v>0.3032108190417784</v>
      </c>
      <c r="I18" s="12" t="n">
        <v>0.06744623655913978</v>
      </c>
      <c r="J18" s="12" t="n">
        <v>0.1075826936427989</v>
      </c>
      <c r="K18" s="12" t="n">
        <v>401.3645708365909</v>
      </c>
      <c r="L18" s="12" t="n">
        <v>0.1714218308378093</v>
      </c>
      <c r="M18" s="16" t="n">
        <v>0.5785866021386691</v>
      </c>
    </row>
    <row r="19">
      <c r="A19" s="10" t="n">
        <v>18</v>
      </c>
      <c r="B19" s="10" t="inlineStr">
        <is>
          <t>North Carolina</t>
        </is>
      </c>
      <c r="C19" s="10" t="inlineStr">
        <is>
          <t>Raleigh-Cary, NC</t>
        </is>
      </c>
      <c r="D19" s="15" t="inlineStr">
        <is>
          <t>Wake County, North Carolina</t>
        </is>
      </c>
      <c r="E19" s="13" t="n">
        <v>1232444</v>
      </c>
      <c r="F19" s="12" t="n">
        <v>0.02249724505480705</v>
      </c>
      <c r="G19" s="12" t="n">
        <v>0.09420672574385248</v>
      </c>
      <c r="H19" s="12" t="n">
        <v>0.3376937616751572</v>
      </c>
      <c r="I19" s="12" t="n">
        <v>0.07073529411764706</v>
      </c>
      <c r="J19" s="12" t="n">
        <v>0.09025403863620156</v>
      </c>
      <c r="K19" s="12" t="n">
        <v>195.187445185545</v>
      </c>
      <c r="L19" s="12" t="n">
        <v>0.1062492378825894</v>
      </c>
      <c r="M19" s="16" t="n">
        <v>0.5773703707172126</v>
      </c>
    </row>
    <row r="20" ht="29" customHeight="1" s="54">
      <c r="A20" s="10" t="n">
        <v>19</v>
      </c>
      <c r="B20" s="10" t="inlineStr">
        <is>
          <t>Minnesota</t>
        </is>
      </c>
      <c r="C20" s="10" t="inlineStr">
        <is>
          <t>Minneapolis-St. Paul-Bloomington, MN-WI</t>
        </is>
      </c>
      <c r="D20" s="15" t="inlineStr">
        <is>
          <t>Washington County, Minnesota</t>
        </is>
      </c>
      <c r="E20" s="13" t="n">
        <v>283960</v>
      </c>
      <c r="F20" s="12" t="n">
        <v>0.01449329359165425</v>
      </c>
      <c r="G20" s="12" t="n">
        <v>0</v>
      </c>
      <c r="H20" s="12" t="n">
        <v>0.3021747581519552</v>
      </c>
      <c r="I20" s="12" t="n">
        <v>0.06259259259259259</v>
      </c>
      <c r="J20" s="12" t="n">
        <v>0.09751313707297918</v>
      </c>
      <c r="K20" s="12" t="n">
        <v>349.2054448038659</v>
      </c>
      <c r="L20" s="12" t="n">
        <v>0.1605305949366407</v>
      </c>
      <c r="M20" s="16" t="n">
        <v>0.5759784162194989</v>
      </c>
    </row>
    <row r="21">
      <c r="A21" s="10" t="n">
        <v>20</v>
      </c>
      <c r="B21" s="10" t="inlineStr">
        <is>
          <t>Colorado</t>
        </is>
      </c>
      <c r="C21" s="10" t="inlineStr">
        <is>
          <t>Denver-Aurora-Centennial, CO</t>
        </is>
      </c>
      <c r="D21" s="15" t="inlineStr">
        <is>
          <t>Denver</t>
        </is>
      </c>
      <c r="E21" s="13" t="n">
        <v>729019</v>
      </c>
      <c r="F21" s="12" t="n">
        <v>0.003971112845238427</v>
      </c>
      <c r="G21" s="12" t="n">
        <v>0.0860278385550021</v>
      </c>
      <c r="H21" s="12" t="n">
        <v>0.3018983557544903</v>
      </c>
      <c r="I21" s="12" t="n">
        <v>0.06782608695652173</v>
      </c>
      <c r="J21" s="12" t="n">
        <v>0.1049313061082367</v>
      </c>
      <c r="K21" s="12" t="n">
        <v>371.0521915171501</v>
      </c>
      <c r="L21" s="12" t="n">
        <v>0.1625054392104066</v>
      </c>
      <c r="M21" s="16" t="n">
        <v>0.5747989047328891</v>
      </c>
    </row>
    <row r="22">
      <c r="A22" s="10" t="n">
        <v>21</v>
      </c>
      <c r="B22" s="10" t="inlineStr">
        <is>
          <t>New Jersey</t>
        </is>
      </c>
      <c r="C22" s="10" t="inlineStr">
        <is>
          <t>New York-Newark-Jersey City, NY-NJ</t>
        </is>
      </c>
      <c r="D22" s="15" t="inlineStr">
        <is>
          <t>Hudson County, New Jersey</t>
        </is>
      </c>
      <c r="E22" s="13" t="n">
        <v>736185</v>
      </c>
      <c r="F22" s="12" t="n">
        <v>0.004943836411514471</v>
      </c>
      <c r="G22" s="12" t="n">
        <v>0.0950804248921468</v>
      </c>
      <c r="H22" s="12" t="n">
        <v>0.2970026554860102</v>
      </c>
      <c r="I22" s="12" t="n">
        <v>0.0607608695652174</v>
      </c>
      <c r="J22" s="12" t="n">
        <v>0.07390376337273473</v>
      </c>
      <c r="K22" s="12" t="n">
        <v>131.4289380751733</v>
      </c>
      <c r="L22" s="12" t="n">
        <v>0.08784070868415883</v>
      </c>
      <c r="M22" s="16" t="n">
        <v>0.5730356164887409</v>
      </c>
    </row>
    <row r="23">
      <c r="A23" s="10" t="n">
        <v>22</v>
      </c>
      <c r="B23" s="10" t="inlineStr">
        <is>
          <t>North Carolina</t>
        </is>
      </c>
      <c r="C23" s="10" t="inlineStr">
        <is>
          <t>Charlotte-Concord-Gastonia, NC-SC</t>
        </is>
      </c>
      <c r="D23" s="15" t="inlineStr">
        <is>
          <t>Union County, North Carolina</t>
        </is>
      </c>
      <c r="E23" s="13" t="n">
        <v>263386</v>
      </c>
      <c r="F23" s="12" t="n">
        <v>0.02471754948099196</v>
      </c>
      <c r="G23" s="12" t="n">
        <v>0.0864352484198178</v>
      </c>
      <c r="H23" s="12" t="n">
        <v>0.356226427916831</v>
      </c>
      <c r="I23" s="12" t="n">
        <v>0.07051169590643275</v>
      </c>
      <c r="J23" s="12" t="n">
        <v>0.09942412040430373</v>
      </c>
      <c r="K23" s="12" t="n">
        <v>289.1242449787099</v>
      </c>
      <c r="L23" s="12" t="n">
        <v>0.133804371244409</v>
      </c>
      <c r="M23" s="16" t="n">
        <v>0.5726710019569816</v>
      </c>
    </row>
    <row r="24" ht="29" customHeight="1" s="54">
      <c r="A24" s="10" t="n">
        <v>23</v>
      </c>
      <c r="B24" s="10" t="inlineStr">
        <is>
          <t>Tennessee</t>
        </is>
      </c>
      <c r="C24" s="10" t="inlineStr">
        <is>
          <t>Nashville-Davidson--Murfreesboro--Franklin, TN</t>
        </is>
      </c>
      <c r="D24" s="15" t="inlineStr">
        <is>
          <t>Williamson County, Tennessee</t>
        </is>
      </c>
      <c r="E24" s="13" t="n">
        <v>269136</v>
      </c>
      <c r="F24" s="12" t="n">
        <v>0.01955002884430485</v>
      </c>
      <c r="G24" s="12" t="n">
        <v>0.09363192916145506</v>
      </c>
      <c r="H24" s="12" t="n">
        <v>0.3202524445629806</v>
      </c>
      <c r="I24" s="12" t="n">
        <v>0.06922316384180791</v>
      </c>
      <c r="J24" s="12" t="n">
        <v>0.1146963724034869</v>
      </c>
      <c r="K24" s="12" t="n">
        <v>454.7320856167896</v>
      </c>
      <c r="L24" s="12" t="n">
        <v>0.1833301806151151</v>
      </c>
      <c r="M24" s="16" t="n">
        <v>0.5725815198758409</v>
      </c>
    </row>
    <row r="25">
      <c r="A25" s="10" t="n">
        <v>24</v>
      </c>
      <c r="B25" s="10" t="inlineStr">
        <is>
          <t>Maine</t>
        </is>
      </c>
      <c r="C25" s="10" t="inlineStr">
        <is>
          <t>Portland-South Portland, ME</t>
        </is>
      </c>
      <c r="D25" s="15" t="inlineStr">
        <is>
          <t>Cumberland County, Maine</t>
        </is>
      </c>
      <c r="E25" s="13" t="n">
        <v>313809</v>
      </c>
      <c r="F25" s="12" t="n">
        <v>0.008401513804075018</v>
      </c>
      <c r="G25" s="12" t="n">
        <v>0.06840129195153542</v>
      </c>
      <c r="H25" s="12" t="n">
        <v>0.271662947145052</v>
      </c>
      <c r="I25" s="12" t="n">
        <v>0.06707446808510639</v>
      </c>
      <c r="J25" s="12" t="n">
        <v>0.122341588018824</v>
      </c>
      <c r="K25" s="12" t="n">
        <v>552.6711993371761</v>
      </c>
      <c r="L25" s="12" t="n">
        <v>0.2144481678116714</v>
      </c>
      <c r="M25" s="16" t="n">
        <v>0.5723357738069744</v>
      </c>
    </row>
    <row r="26">
      <c r="A26" s="10" t="n">
        <v>25</v>
      </c>
      <c r="B26" s="10" t="inlineStr">
        <is>
          <t>Virginia</t>
        </is>
      </c>
      <c r="C26" s="10" t="inlineStr">
        <is>
          <t>Washington-Arlington-Alexandria, DC-VA-MD-WV</t>
        </is>
      </c>
      <c r="D26" s="15" t="inlineStr">
        <is>
          <t>Loudoun County, Virginia</t>
        </is>
      </c>
      <c r="E26" s="13" t="n">
        <v>443380</v>
      </c>
      <c r="F26" s="12" t="n">
        <v>0.01221662885624865</v>
      </c>
      <c r="G26" s="12" t="n">
        <v>0.05343174220575646</v>
      </c>
      <c r="H26" s="12" t="n">
        <v>0.340748633274359</v>
      </c>
      <c r="I26" s="12" t="n">
        <v>0.06782608695652173</v>
      </c>
      <c r="J26" s="12" t="n">
        <v>0.1298745982297467</v>
      </c>
      <c r="K26" s="12" t="n">
        <v>620.4851127322495</v>
      </c>
      <c r="L26" s="12" t="n">
        <v>0.2261309962040308</v>
      </c>
      <c r="M26" s="16" t="n">
        <v>0.5721844500179217</v>
      </c>
    </row>
    <row r="27">
      <c r="A27" s="10" t="n">
        <v>26</v>
      </c>
      <c r="B27" s="10" t="inlineStr">
        <is>
          <t>Florida</t>
        </is>
      </c>
      <c r="C27" s="10" t="inlineStr">
        <is>
          <t>Gainesville, FL</t>
        </is>
      </c>
      <c r="D27" s="15" t="inlineStr">
        <is>
          <t>Alachua County, Florida</t>
        </is>
      </c>
      <c r="E27" s="13" t="n">
        <v>291782</v>
      </c>
      <c r="F27" s="12" t="n">
        <v>0.01073847693599986</v>
      </c>
      <c r="G27" s="12" t="n">
        <v>0.1934170160010927</v>
      </c>
      <c r="H27" s="12" t="n">
        <v>0.2573871893781133</v>
      </c>
      <c r="I27" s="12" t="n">
        <v>0.07073529411764706</v>
      </c>
      <c r="J27" s="12" t="n">
        <v>0.1560334620225443</v>
      </c>
      <c r="K27" s="12" t="n">
        <v>852.9816790489725</v>
      </c>
      <c r="L27" s="12" t="n">
        <v>0.2802779173024177</v>
      </c>
      <c r="M27" s="16" t="n">
        <v>0.5697300571785413</v>
      </c>
    </row>
    <row r="28" ht="29" customHeight="1" s="54">
      <c r="A28" s="10" t="n">
        <v>27</v>
      </c>
      <c r="B28" s="10" t="inlineStr">
        <is>
          <t>South Carolina</t>
        </is>
      </c>
      <c r="C28" s="10" t="inlineStr">
        <is>
          <t>Charleston-North Charleston, SC</t>
        </is>
      </c>
      <c r="D28" s="15" t="inlineStr">
        <is>
          <t>Charleston County, South Carolina</t>
        </is>
      </c>
      <c r="E28" s="13" t="n">
        <v>431001</v>
      </c>
      <c r="F28" s="12" t="n">
        <v>0.01283241210075179</v>
      </c>
      <c r="G28" s="12" t="n">
        <v>0.05549728070932782</v>
      </c>
      <c r="H28" s="12" t="n">
        <v>0.2833913926379554</v>
      </c>
      <c r="I28" s="12" t="n">
        <v>0.07073529411764706</v>
      </c>
      <c r="J28" s="12" t="n">
        <v>0.1169521558828261</v>
      </c>
      <c r="K28" s="12" t="n">
        <v>462.1686176517908</v>
      </c>
      <c r="L28" s="12" t="n">
        <v>0.1858527966173342</v>
      </c>
      <c r="M28" s="16" t="n">
        <v>0.5649027602570887</v>
      </c>
    </row>
    <row r="29">
      <c r="A29" s="10" t="n">
        <v>28</v>
      </c>
      <c r="B29" s="10" t="inlineStr">
        <is>
          <t>Tennessee</t>
        </is>
      </c>
      <c r="C29" s="10" t="inlineStr">
        <is>
          <t>Nashville-Davidson--Murfreesboro--Franklin, TN</t>
        </is>
      </c>
      <c r="D29" s="15" t="inlineStr">
        <is>
          <t>Davidson County, Tennessee</t>
        </is>
      </c>
      <c r="E29" s="13" t="n">
        <v>729505</v>
      </c>
      <c r="F29" s="12" t="n">
        <v>0.004681641402327903</v>
      </c>
      <c r="G29" s="12" t="n">
        <v>0.06671940501851854</v>
      </c>
      <c r="H29" s="12" t="n">
        <v>0.281579416811872</v>
      </c>
      <c r="I29" s="12" t="n">
        <v>0.06901685393258428</v>
      </c>
      <c r="J29" s="12" t="n">
        <v>0.1324825073588956</v>
      </c>
      <c r="K29" s="12" t="n">
        <v>634.6565342631134</v>
      </c>
      <c r="L29" s="12" t="n">
        <v>0.231778726045333</v>
      </c>
      <c r="M29" s="16" t="n">
        <v>0.5636820694846327</v>
      </c>
    </row>
    <row r="30" ht="29" customHeight="1" s="54">
      <c r="A30" s="10" t="n">
        <v>29</v>
      </c>
      <c r="B30" s="10" t="inlineStr">
        <is>
          <t>Maryland</t>
        </is>
      </c>
      <c r="C30" s="10" t="inlineStr">
        <is>
          <t>Washington-Arlington-Alexandria, DC-VA-MD-WV</t>
        </is>
      </c>
      <c r="D30" s="15" t="inlineStr">
        <is>
          <t>Prince George's County, Maryland</t>
        </is>
      </c>
      <c r="E30" s="13" t="n">
        <v>966629</v>
      </c>
      <c r="F30" s="12" t="n">
        <v>0.0003187804408130119</v>
      </c>
      <c r="G30" s="12" t="n">
        <v>0.1261261721610786</v>
      </c>
      <c r="H30" s="12" t="n">
        <v>0.3073273476125365</v>
      </c>
      <c r="I30" s="12" t="n">
        <v>0.06744623655913978</v>
      </c>
      <c r="J30" s="12" t="n">
        <v>0.1161070202837593</v>
      </c>
      <c r="K30" s="12" t="n">
        <v>486.6078372461953</v>
      </c>
      <c r="L30" s="12" t="n">
        <v>0.1945967422597965</v>
      </c>
      <c r="M30" s="16" t="n">
        <v>0.5604784624565495</v>
      </c>
    </row>
    <row r="31" ht="29" customHeight="1" s="54">
      <c r="A31" s="10" t="n">
        <v>30</v>
      </c>
      <c r="B31" s="10" t="inlineStr">
        <is>
          <t>North Carolina</t>
        </is>
      </c>
      <c r="C31" s="10" t="inlineStr">
        <is>
          <t>Raleigh-Cary, NC</t>
        </is>
      </c>
      <c r="D31" s="15" t="inlineStr">
        <is>
          <t>Johnston County, North Carolina</t>
        </is>
      </c>
      <c r="E31" s="13" t="n">
        <v>249794</v>
      </c>
      <c r="F31" s="12" t="n">
        <v>0.03721726012528401</v>
      </c>
      <c r="G31" s="12" t="n">
        <v>0.05014260652956538</v>
      </c>
      <c r="H31" s="12" t="n">
        <v>0.3734106485419345</v>
      </c>
      <c r="I31" s="12" t="n">
        <v>0.07051169590643275</v>
      </c>
      <c r="J31" s="12" t="n">
        <v>0.09620688020862964</v>
      </c>
      <c r="K31" s="12" t="n">
        <v>256.9518430219689</v>
      </c>
      <c r="L31" s="12" t="n">
        <v>0.1232297947055534</v>
      </c>
      <c r="M31" s="16" t="n">
        <v>0.5602706060806233</v>
      </c>
    </row>
    <row r="32" ht="29" customHeight="1" s="54">
      <c r="A32" s="10" t="n">
        <v>31</v>
      </c>
      <c r="B32" s="10" t="inlineStr">
        <is>
          <t>Massachusetts</t>
        </is>
      </c>
      <c r="C32" s="10" t="inlineStr">
        <is>
          <t>Boston-Cambridge-Newton, MA-NH</t>
        </is>
      </c>
      <c r="D32" s="15" t="inlineStr">
        <is>
          <t>Norfolk County, Massachusetts</t>
        </is>
      </c>
      <c r="E32" s="13" t="n">
        <v>740754</v>
      </c>
      <c r="F32" s="12" t="n">
        <v>0.005873575129533679</v>
      </c>
      <c r="G32" s="12" t="n">
        <v>0.113693195247111</v>
      </c>
      <c r="H32" s="12" t="n">
        <v>0.2846335337834408</v>
      </c>
      <c r="I32" s="12" t="n">
        <v>0.06224828375286041</v>
      </c>
      <c r="J32" s="12" t="n">
        <v>0.1051098950285149</v>
      </c>
      <c r="K32" s="12" t="n">
        <v>428.6161127565446</v>
      </c>
      <c r="L32" s="12" t="n">
        <v>0.1854792023508336</v>
      </c>
      <c r="M32" s="16" t="n">
        <v>0.5597331685070025</v>
      </c>
    </row>
    <row r="33" ht="29" customHeight="1" s="54">
      <c r="A33" s="10" t="n">
        <v>32</v>
      </c>
      <c r="B33" s="10" t="inlineStr">
        <is>
          <t>South Carolina</t>
        </is>
      </c>
      <c r="C33" s="10" t="inlineStr">
        <is>
          <t>Charleston-North Charleston, SC</t>
        </is>
      </c>
      <c r="D33" s="15" t="inlineStr">
        <is>
          <t>Berkeley County, South Carolina</t>
        </is>
      </c>
      <c r="E33" s="13" t="n">
        <v>264276</v>
      </c>
      <c r="F33" s="12" t="n">
        <v>0.03538538625015118</v>
      </c>
      <c r="G33" s="12" t="n">
        <v>0.09050152132762536</v>
      </c>
      <c r="H33" s="12" t="n">
        <v>0.3665554253730874</v>
      </c>
      <c r="I33" s="12" t="n">
        <v>0.07073529411764706</v>
      </c>
      <c r="J33" s="12" t="n">
        <v>0.0893786450780381</v>
      </c>
      <c r="K33" s="12" t="n">
        <v>186.4335096039104</v>
      </c>
      <c r="L33" s="12" t="n">
        <v>0.1017397033392058</v>
      </c>
      <c r="M33" s="16" t="n">
        <v>0.5589518071747696</v>
      </c>
    </row>
    <row r="34">
      <c r="A34" s="10" t="n">
        <v>33</v>
      </c>
      <c r="B34" s="10" t="inlineStr">
        <is>
          <t>Texas</t>
        </is>
      </c>
      <c r="C34" s="10" t="inlineStr">
        <is>
          <t>Austin-Round Rock-San Marcos, TX</t>
        </is>
      </c>
      <c r="D34" s="15" t="inlineStr">
        <is>
          <t>Hays County, Texas</t>
        </is>
      </c>
      <c r="E34" s="13" t="n">
        <v>292029</v>
      </c>
      <c r="F34" s="12" t="n">
        <v>0.04922475695526009</v>
      </c>
      <c r="G34" s="12" t="n">
        <v>0.09108491117369123</v>
      </c>
      <c r="H34" s="12" t="n">
        <v>0.4106943936347856</v>
      </c>
      <c r="I34" s="12" t="n">
        <v>0.07119047619047619</v>
      </c>
      <c r="J34" s="12" t="n">
        <v>0.06896787868569851</v>
      </c>
      <c r="K34" s="12" t="n">
        <v>-22.22597504777685</v>
      </c>
      <c r="L34" s="12" t="n">
        <v>0.02716061546938819</v>
      </c>
      <c r="M34" s="16" t="n">
        <v>0.5585426480261497</v>
      </c>
    </row>
    <row r="35" ht="29" customHeight="1" s="54">
      <c r="A35" s="10" t="n">
        <v>34</v>
      </c>
      <c r="B35" s="10" t="inlineStr">
        <is>
          <t>Tennessee</t>
        </is>
      </c>
      <c r="C35" s="10" t="inlineStr">
        <is>
          <t>Clarksville, TN-KY</t>
        </is>
      </c>
      <c r="D35" s="15" t="inlineStr">
        <is>
          <t>Montgomery County, Tennessee</t>
        </is>
      </c>
      <c r="E35" s="13" t="n">
        <v>246025</v>
      </c>
      <c r="F35" s="12" t="n">
        <v>0.02792023821896082</v>
      </c>
      <c r="G35" s="12" t="n">
        <v>0.02230732610828324</v>
      </c>
      <c r="H35" s="12" t="n">
        <v>0.3707098422591535</v>
      </c>
      <c r="I35" s="12" t="n">
        <v>0.06922316384180791</v>
      </c>
      <c r="J35" s="12" t="n">
        <v>0.09947517549463042</v>
      </c>
      <c r="K35" s="12" t="n">
        <v>302.5201165282252</v>
      </c>
      <c r="L35" s="12" t="n">
        <v>0.1376133308025966</v>
      </c>
      <c r="M35" s="16" t="n">
        <v>0.5560286815807882</v>
      </c>
    </row>
    <row r="36">
      <c r="A36" s="10" t="n">
        <v>35</v>
      </c>
      <c r="B36" s="10" t="inlineStr">
        <is>
          <t>Minnesota</t>
        </is>
      </c>
      <c r="C36" s="10" t="inlineStr">
        <is>
          <t>Duluth, MN-WI</t>
        </is>
      </c>
      <c r="D36" s="15" t="inlineStr">
        <is>
          <t>St. Louis County, Minnesota</t>
        </is>
      </c>
      <c r="E36" s="13" t="n">
        <v>200794</v>
      </c>
      <c r="F36" s="12" t="n">
        <v>0.0008883813217514732</v>
      </c>
      <c r="G36" s="12" t="n">
        <v>0</v>
      </c>
      <c r="H36" s="12" t="n">
        <v>0.2315034605925807</v>
      </c>
      <c r="I36" s="12" t="n">
        <v>0.06259259259259259</v>
      </c>
      <c r="J36" s="12" t="n">
        <v>0.1555950844149399</v>
      </c>
      <c r="K36" s="12" t="n">
        <v>930.0249182234735</v>
      </c>
      <c r="L36" s="12" t="n">
        <v>0.3150049127554591</v>
      </c>
      <c r="M36" s="16" t="n">
        <v>0.5555623430205389</v>
      </c>
    </row>
    <row r="37">
      <c r="A37" s="10" t="n">
        <v>36</v>
      </c>
      <c r="B37" s="10" t="inlineStr">
        <is>
          <t>New Jersey</t>
        </is>
      </c>
      <c r="C37" s="10" t="inlineStr">
        <is>
          <t>New York-Newark-Jersey City, NY-NJ</t>
        </is>
      </c>
      <c r="D37" s="15" t="inlineStr">
        <is>
          <t>Passaic County, New Jersey</t>
        </is>
      </c>
      <c r="E37" s="13" t="n">
        <v>526597</v>
      </c>
      <c r="F37" s="12" t="n">
        <v>0.001496282456864273</v>
      </c>
      <c r="G37" s="12" t="n">
        <v>0.03344924106533564</v>
      </c>
      <c r="H37" s="12" t="n">
        <v>0.3327996421309327</v>
      </c>
      <c r="I37" s="12" t="n">
        <v>0.06051724137931035</v>
      </c>
      <c r="J37" s="12" t="n">
        <v>0.09945987334891042</v>
      </c>
      <c r="K37" s="12" t="n">
        <v>389.4263196960007</v>
      </c>
      <c r="L37" s="12" t="n">
        <v>0.1734901637577342</v>
      </c>
      <c r="M37" s="16" t="n">
        <v>0.5549167001378159</v>
      </c>
    </row>
    <row r="38">
      <c r="A38" s="10" t="n">
        <v>37</v>
      </c>
      <c r="B38" s="10" t="inlineStr">
        <is>
          <t>Washington</t>
        </is>
      </c>
      <c r="C38" s="10" t="inlineStr">
        <is>
          <t>Bellingham, WA</t>
        </is>
      </c>
      <c r="D38" s="15" t="inlineStr">
        <is>
          <t>Whatcom County, Washington</t>
        </is>
      </c>
      <c r="E38" s="13" t="n">
        <v>234954</v>
      </c>
      <c r="F38" s="12" t="n">
        <v>0.008246831185618001</v>
      </c>
      <c r="G38" s="12" t="n">
        <v>0.03672731038203815</v>
      </c>
      <c r="H38" s="12" t="n">
        <v>0.2888852147197706</v>
      </c>
      <c r="I38" s="12" t="n">
        <v>0.06375</v>
      </c>
      <c r="J38" s="12" t="n">
        <v>0.1307557304713773</v>
      </c>
      <c r="K38" s="12" t="n">
        <v>670.0573047137734</v>
      </c>
      <c r="L38" s="12" t="n">
        <v>0.2481748035154401</v>
      </c>
      <c r="M38" s="16" t="n">
        <v>0.5537139818823806</v>
      </c>
    </row>
    <row r="39">
      <c r="A39" s="10" t="n">
        <v>38</v>
      </c>
      <c r="B39" s="10" t="inlineStr">
        <is>
          <t>Michigan</t>
        </is>
      </c>
      <c r="C39" s="10" t="inlineStr">
        <is>
          <t>Detroit-Warren-Dearborn, MI</t>
        </is>
      </c>
      <c r="D39" s="15" t="inlineStr">
        <is>
          <t>Wayne County, Michigan</t>
        </is>
      </c>
      <c r="E39" s="13" t="n">
        <v>1771063</v>
      </c>
      <c r="F39" s="12" t="n">
        <v>-0.002597148612442063</v>
      </c>
      <c r="G39" s="12" t="n">
        <v>0.07384461316658464</v>
      </c>
      <c r="H39" s="12" t="n">
        <v>0.3054159033065578</v>
      </c>
      <c r="I39" s="12" t="n">
        <v>0.06532828282828283</v>
      </c>
      <c r="J39" s="12" t="n">
        <v>0.1133200872644072</v>
      </c>
      <c r="K39" s="12" t="n">
        <v>479.9180443612441</v>
      </c>
      <c r="L39" s="12" t="n">
        <v>0.195476310431548</v>
      </c>
      <c r="M39" s="16" t="n">
        <v>0.5536601044946248</v>
      </c>
    </row>
    <row r="40">
      <c r="A40" s="10" t="n">
        <v>39</v>
      </c>
      <c r="B40" s="10" t="inlineStr">
        <is>
          <t>Texas</t>
        </is>
      </c>
      <c r="C40" s="10" t="inlineStr">
        <is>
          <t>College Station-Bryan, TX</t>
        </is>
      </c>
      <c r="D40" s="15" t="inlineStr">
        <is>
          <t>Brazos County, Texas</t>
        </is>
      </c>
      <c r="E40" s="13" t="n">
        <v>249624</v>
      </c>
      <c r="F40" s="12" t="n">
        <v>0.01610664563034347</v>
      </c>
      <c r="G40" s="12" t="n">
        <v>0.1171361283552741</v>
      </c>
      <c r="H40" s="12" t="n">
        <v>0.3131176332754026</v>
      </c>
      <c r="I40" s="12" t="n">
        <v>0.07107566765578635</v>
      </c>
      <c r="J40" s="12" t="n">
        <v>0.1289047167013419</v>
      </c>
      <c r="K40" s="12" t="n">
        <v>578.2904904555553</v>
      </c>
      <c r="L40" s="12" t="n">
        <v>0.2132849690487673</v>
      </c>
      <c r="M40" s="16" t="n">
        <v>0.5530511732558847</v>
      </c>
    </row>
    <row r="41">
      <c r="A41" s="10" t="n">
        <v>40</v>
      </c>
      <c r="B41" s="10" t="inlineStr">
        <is>
          <t>Texas</t>
        </is>
      </c>
      <c r="C41" s="10" t="inlineStr">
        <is>
          <t>Austin-Round Rock-San Marcos, TX</t>
        </is>
      </c>
      <c r="D41" s="15" t="inlineStr">
        <is>
          <t>Travis County, Texas</t>
        </is>
      </c>
      <c r="E41" s="13" t="n">
        <v>1363767</v>
      </c>
      <c r="F41" s="12" t="n">
        <v>0.01294857358804884</v>
      </c>
      <c r="G41" s="12" t="n">
        <v>0.0761698383720366</v>
      </c>
      <c r="H41" s="12" t="n">
        <v>0.3556247314067407</v>
      </c>
      <c r="I41" s="12" t="n">
        <v>0.07119047619047619</v>
      </c>
      <c r="J41" s="12" t="n">
        <v>0.09656702568439965</v>
      </c>
      <c r="K41" s="12" t="n">
        <v>253.7654949392345</v>
      </c>
      <c r="L41" s="12" t="n">
        <v>0.1230754612218223</v>
      </c>
      <c r="M41" s="16" t="n">
        <v>0.5529614897200305</v>
      </c>
    </row>
    <row r="42">
      <c r="A42" s="10" t="n">
        <v>41</v>
      </c>
      <c r="B42" s="10" t="inlineStr">
        <is>
          <t>Washington</t>
        </is>
      </c>
      <c r="C42" s="10" t="inlineStr">
        <is>
          <t>Bremerton-Silverdale-Port Orchard, WA</t>
        </is>
      </c>
      <c r="D42" s="15" t="inlineStr">
        <is>
          <t>Kitsap County, Washington</t>
        </is>
      </c>
      <c r="E42" s="13" t="n">
        <v>281420</v>
      </c>
      <c r="F42" s="12" t="n">
        <v>0.005064677049798428</v>
      </c>
      <c r="G42" s="12" t="n">
        <v>0.02123848069086173</v>
      </c>
      <c r="H42" s="12" t="n">
        <v>0.2986853752134795</v>
      </c>
      <c r="I42" s="12" t="n">
        <v>0.06287383177570094</v>
      </c>
      <c r="J42" s="12" t="n">
        <v>0.1139997856197487</v>
      </c>
      <c r="K42" s="12" t="n">
        <v>511.2595384404779</v>
      </c>
      <c r="L42" s="12" t="n">
        <v>0.2075525523973418</v>
      </c>
      <c r="M42" s="16" t="n">
        <v>0.5519047833802675</v>
      </c>
    </row>
    <row r="43">
      <c r="A43" s="10" t="n">
        <v>42</v>
      </c>
      <c r="B43" s="10" t="inlineStr">
        <is>
          <t>Alabama</t>
        </is>
      </c>
      <c r="C43" s="10" t="inlineStr">
        <is>
          <t>Tuscaloosa, AL</t>
        </is>
      </c>
      <c r="D43" s="15" t="inlineStr">
        <is>
          <t>Tuscaloosa County, Alabama</t>
        </is>
      </c>
      <c r="E43" s="13" t="n">
        <v>241212</v>
      </c>
      <c r="F43" s="12" t="n">
        <v>0.009199401678909612</v>
      </c>
      <c r="G43" s="12" t="n">
        <v>0.03548689525311854</v>
      </c>
      <c r="H43" s="12" t="n">
        <v>0.3321305251505831</v>
      </c>
      <c r="I43" s="12" t="n">
        <v>0.07043774319066148</v>
      </c>
      <c r="J43" s="12" t="n">
        <v>0.1287053278899679</v>
      </c>
      <c r="K43" s="12" t="n">
        <v>582.6758469930637</v>
      </c>
      <c r="L43" s="12" t="n">
        <v>0.2138389989393472</v>
      </c>
      <c r="M43" s="16" t="n">
        <v>0.5505363487917749</v>
      </c>
    </row>
    <row r="44">
      <c r="A44" s="10" t="n">
        <v>43</v>
      </c>
      <c r="B44" s="10" t="inlineStr">
        <is>
          <t>Kentucky</t>
        </is>
      </c>
      <c r="C44" s="10" t="inlineStr">
        <is>
          <t>Lexington-Fayette, KY</t>
        </is>
      </c>
      <c r="D44" s="15" t="inlineStr">
        <is>
          <t>Fayette County, Kentucky</t>
        </is>
      </c>
      <c r="E44" s="13" t="n">
        <v>329437</v>
      </c>
      <c r="F44" s="12" t="n">
        <v>0.005276200453773386</v>
      </c>
      <c r="G44" s="12" t="n">
        <v>0.005615863086749616</v>
      </c>
      <c r="H44" s="12" t="n">
        <v>0.3670945816066029</v>
      </c>
      <c r="I44" s="12" t="n">
        <v>0.06943181818181818</v>
      </c>
      <c r="J44" s="12" t="n">
        <v>0.09047592106101446</v>
      </c>
      <c r="K44" s="12" t="n">
        <v>210.4410287919628</v>
      </c>
      <c r="L44" s="12" t="n">
        <v>0.1097782703823729</v>
      </c>
      <c r="M44" s="16" t="n">
        <v>0.5478306281714862</v>
      </c>
    </row>
    <row r="45">
      <c r="A45" s="10" t="n">
        <v>44</v>
      </c>
      <c r="B45" s="10" t="inlineStr">
        <is>
          <t>Maryland</t>
        </is>
      </c>
      <c r="C45" s="10" t="inlineStr">
        <is>
          <t>Washington-Arlington-Alexandria, DC-VA-MD-WV</t>
        </is>
      </c>
      <c r="D45" s="15" t="inlineStr">
        <is>
          <t>Frederick County, Maryland</t>
        </is>
      </c>
      <c r="E45" s="13" t="n">
        <v>299317</v>
      </c>
      <c r="F45" s="12" t="n">
        <v>0.02431384193528284</v>
      </c>
      <c r="G45" s="12" t="n">
        <v>0.2517818166704657</v>
      </c>
      <c r="H45" s="12" t="n">
        <v>0.3280591123767973</v>
      </c>
      <c r="I45" s="12" t="n">
        <v>0.06744623655913978</v>
      </c>
      <c r="J45" s="12" t="n">
        <v>0.09294277628751199</v>
      </c>
      <c r="K45" s="12" t="n">
        <v>254.9653972837221</v>
      </c>
      <c r="L45" s="12" t="n">
        <v>0.1266286979935747</v>
      </c>
      <c r="M45" s="16" t="n">
        <v>0.5475833709652814</v>
      </c>
    </row>
    <row r="46">
      <c r="A46" s="10" t="n">
        <v>45</v>
      </c>
      <c r="B46" s="10" t="inlineStr">
        <is>
          <t>Indiana</t>
        </is>
      </c>
      <c r="C46" s="10" t="inlineStr">
        <is>
          <t>Indianapolis-Carmel-Greenwood, IN</t>
        </is>
      </c>
      <c r="D46" s="15" t="inlineStr">
        <is>
          <t>Hamilton County, Indiana</t>
        </is>
      </c>
      <c r="E46" s="13" t="n">
        <v>379704</v>
      </c>
      <c r="F46" s="12" t="n">
        <v>0.02197011153737061</v>
      </c>
      <c r="G46" s="12" t="n">
        <v>0.04217467089447699</v>
      </c>
      <c r="H46" s="12" t="n">
        <v>0.3872564949536562</v>
      </c>
      <c r="I46" s="12" t="n">
        <v>0.06901685393258428</v>
      </c>
      <c r="J46" s="12" t="n">
        <v>0.07424424260747467</v>
      </c>
      <c r="K46" s="12" t="n">
        <v>52.27388674890393</v>
      </c>
      <c r="L46" s="12" t="n">
        <v>0.05511769334898098</v>
      </c>
      <c r="M46" s="16" t="n">
        <v>0.5462541846768676</v>
      </c>
    </row>
    <row r="47">
      <c r="A47" s="10" t="n">
        <v>46</v>
      </c>
      <c r="B47" s="10" t="inlineStr">
        <is>
          <t>Virginia</t>
        </is>
      </c>
      <c r="C47" s="10" t="inlineStr">
        <is>
          <t>Richmond, VA</t>
        </is>
      </c>
      <c r="D47" s="15" t="inlineStr">
        <is>
          <t>Henrico County, Virginia</t>
        </is>
      </c>
      <c r="E47" s="13" t="n">
        <v>338696</v>
      </c>
      <c r="F47" s="12" t="n">
        <v>0.002804241966447622</v>
      </c>
      <c r="G47" s="12" t="n">
        <v>0.0762840958352405</v>
      </c>
      <c r="H47" s="12" t="n">
        <v>0.3087640389699076</v>
      </c>
      <c r="I47" s="12" t="n">
        <v>0.06901685393258428</v>
      </c>
      <c r="J47" s="12" t="n">
        <v>0.1210167473067552</v>
      </c>
      <c r="K47" s="12" t="n">
        <v>519.9989337417096</v>
      </c>
      <c r="L47" s="12" t="n">
        <v>0.2013336275671922</v>
      </c>
      <c r="M47" s="16" t="n">
        <v>0.544264894214732</v>
      </c>
    </row>
    <row r="48">
      <c r="A48" s="10" t="n">
        <v>47</v>
      </c>
      <c r="B48" s="10" t="inlineStr">
        <is>
          <t>Oregon</t>
        </is>
      </c>
      <c r="C48" s="10" t="inlineStr">
        <is>
          <t>Portland-Vancouver-Hillsboro, OR-WA</t>
        </is>
      </c>
      <c r="D48" s="15" t="inlineStr">
        <is>
          <t>Clackamas County, Oregon</t>
        </is>
      </c>
      <c r="E48" s="13" t="n">
        <v>425857</v>
      </c>
      <c r="F48" s="12" t="n">
        <v>0.00197923372590601</v>
      </c>
      <c r="G48" s="12" t="n">
        <v>0.0256781236858569</v>
      </c>
      <c r="H48" s="12" t="n">
        <v>0.3161613435281457</v>
      </c>
      <c r="I48" s="12" t="n">
        <v>0.06405339805825243</v>
      </c>
      <c r="J48" s="12" t="n">
        <v>0.09035861235515738</v>
      </c>
      <c r="K48" s="12" t="n">
        <v>263.0521429690495</v>
      </c>
      <c r="L48" s="12" t="n">
        <v>0.1316028879630806</v>
      </c>
      <c r="M48" s="16" t="n">
        <v>0.5440060164750858</v>
      </c>
    </row>
    <row r="49">
      <c r="A49" s="10" t="n">
        <v>48</v>
      </c>
      <c r="B49" s="10" t="inlineStr">
        <is>
          <t>Wisconsin</t>
        </is>
      </c>
      <c r="C49" s="10" t="inlineStr">
        <is>
          <t>Madison, WI</t>
        </is>
      </c>
      <c r="D49" s="15" t="inlineStr">
        <is>
          <t>Dane County, Wisconsin</t>
        </is>
      </c>
      <c r="E49" s="13" t="n">
        <v>588347</v>
      </c>
      <c r="F49" s="12" t="n">
        <v>0.01143178344175465</v>
      </c>
      <c r="G49" s="12" t="n">
        <v>0.08173295531978501</v>
      </c>
      <c r="H49" s="12" t="n">
        <v>0.3304790589936481</v>
      </c>
      <c r="I49" s="12" t="n">
        <v>0.06436274509803921</v>
      </c>
      <c r="J49" s="12" t="n">
        <v>0.08477274519629412</v>
      </c>
      <c r="K49" s="12" t="n">
        <v>204.100000982549</v>
      </c>
      <c r="L49" s="12" t="n">
        <v>0.1113041304847997</v>
      </c>
      <c r="M49" s="16" t="n">
        <v>0.5431269979251646</v>
      </c>
    </row>
    <row r="50" ht="29" customHeight="1" s="54">
      <c r="A50" s="10" t="n">
        <v>49</v>
      </c>
      <c r="B50" s="10" t="inlineStr">
        <is>
          <t>Rhode Island</t>
        </is>
      </c>
      <c r="C50" s="10" t="inlineStr">
        <is>
          <t>Providence-Warwick, RI-MA</t>
        </is>
      </c>
      <c r="D50" s="15" t="inlineStr">
        <is>
          <t>Providence County, Rhode Island</t>
        </is>
      </c>
      <c r="E50" s="13" t="n">
        <v>675912</v>
      </c>
      <c r="F50" s="12" t="n">
        <v>0.006010205380247377</v>
      </c>
      <c r="G50" s="12" t="n">
        <v>0.2538820373870275</v>
      </c>
      <c r="H50" s="12" t="n">
        <v>0.2888725742020489</v>
      </c>
      <c r="I50" s="12" t="n">
        <v>0.06316037735849056</v>
      </c>
      <c r="J50" s="12" t="n">
        <v>0.09505967430156094</v>
      </c>
      <c r="K50" s="12" t="n">
        <v>318.9929694307038</v>
      </c>
      <c r="L50" s="12" t="n">
        <v>0.1514733472933056</v>
      </c>
      <c r="M50" s="16" t="n">
        <v>0.5427729118622122</v>
      </c>
    </row>
    <row r="51">
      <c r="A51" s="10" t="n">
        <v>50</v>
      </c>
      <c r="B51" s="10" t="inlineStr">
        <is>
          <t>Oregon</t>
        </is>
      </c>
      <c r="C51" s="10" t="inlineStr">
        <is>
          <t>Portland-Vancouver-Hillsboro, OR-WA</t>
        </is>
      </c>
      <c r="D51" s="15" t="inlineStr">
        <is>
          <t>Washington County, Oregon</t>
        </is>
      </c>
      <c r="E51" s="13" t="n">
        <v>611272</v>
      </c>
      <c r="F51" s="12" t="n">
        <v>0.00425384122653046</v>
      </c>
      <c r="G51" s="12" t="n">
        <v>0.07755479216872713</v>
      </c>
      <c r="H51" s="12" t="n">
        <v>0.3302071878716055</v>
      </c>
      <c r="I51" s="12" t="n">
        <v>0.06405339805825243</v>
      </c>
      <c r="J51" s="12" t="n">
        <v>0.07915746498998148</v>
      </c>
      <c r="K51" s="12" t="n">
        <v>151.0406693172905</v>
      </c>
      <c r="L51" s="12" t="n">
        <v>0.09301947369383035</v>
      </c>
      <c r="M51" s="16" t="n">
        <v>0.5427718671325106</v>
      </c>
    </row>
    <row r="52">
      <c r="A52" s="10" t="n">
        <v>51</v>
      </c>
      <c r="B52" s="10" t="inlineStr">
        <is>
          <t>Pennsylvania</t>
        </is>
      </c>
      <c r="C52" s="10" t="inlineStr">
        <is>
          <t>Scranton--Wilkes-Barre, PA</t>
        </is>
      </c>
      <c r="D52" s="15" t="inlineStr">
        <is>
          <t>Luzerne County, Pennsylvania</t>
        </is>
      </c>
      <c r="E52" s="13" t="n">
        <v>331379</v>
      </c>
      <c r="F52" s="12" t="n">
        <v>0.004732920897110282</v>
      </c>
      <c r="G52" s="12" t="n">
        <v>0</v>
      </c>
      <c r="H52" s="12" t="n">
        <v>0.3666563432605476</v>
      </c>
      <c r="I52" s="12" t="n">
        <v>0.06566326530612246</v>
      </c>
      <c r="J52" s="12" t="n">
        <v>0.09582772072263465</v>
      </c>
      <c r="K52" s="12" t="n">
        <v>301.6445541651219</v>
      </c>
      <c r="L52" s="12" t="n">
        <v>0.1399826146259782</v>
      </c>
      <c r="M52" s="16" t="n">
        <v>0.5406927129600039</v>
      </c>
    </row>
    <row r="53">
      <c r="A53" s="10" t="n">
        <v>52</v>
      </c>
      <c r="B53" s="10" t="inlineStr">
        <is>
          <t>Florida</t>
        </is>
      </c>
      <c r="C53" s="10" t="inlineStr">
        <is>
          <t>Lakeland-Winter Haven, FL</t>
        </is>
      </c>
      <c r="D53" s="15" t="inlineStr">
        <is>
          <t>Polk County, Florida</t>
        </is>
      </c>
      <c r="E53" s="13" t="n">
        <v>852878</v>
      </c>
      <c r="F53" s="12" t="n">
        <v>0.04200990442069685</v>
      </c>
      <c r="G53" s="12" t="n">
        <v>0.1088195696679975</v>
      </c>
      <c r="H53" s="12" t="n">
        <v>0.3880945484898187</v>
      </c>
      <c r="I53" s="12" t="n">
        <v>0.073125</v>
      </c>
      <c r="J53" s="12" t="n">
        <v>0.08013927497347263</v>
      </c>
      <c r="K53" s="12" t="n">
        <v>70.14274973472637</v>
      </c>
      <c r="L53" s="12" t="n">
        <v>0.06234604272341349</v>
      </c>
      <c r="M53" s="16" t="n">
        <v>0.5398240571093752</v>
      </c>
    </row>
    <row r="54" ht="29" customHeight="1" s="54">
      <c r="A54" s="10" t="n">
        <v>53</v>
      </c>
      <c r="B54" s="10" t="inlineStr">
        <is>
          <t>Pennsylvania</t>
        </is>
      </c>
      <c r="C54" s="10" t="inlineStr">
        <is>
          <t>Allentown-Bethlehem-Easton, PA-NJ</t>
        </is>
      </c>
      <c r="D54" s="15" t="inlineStr">
        <is>
          <t>Northampton County, Pennsylvania</t>
        </is>
      </c>
      <c r="E54" s="13" t="n">
        <v>322989</v>
      </c>
      <c r="F54" s="12" t="n">
        <v>0.00813512995108852</v>
      </c>
      <c r="G54" s="12" t="n">
        <v>0.1661226480394689</v>
      </c>
      <c r="H54" s="12" t="n">
        <v>0.2890971522487638</v>
      </c>
      <c r="I54" s="12" t="n">
        <v>0.06436274509803921</v>
      </c>
      <c r="J54" s="12" t="n">
        <v>0.1331753367835374</v>
      </c>
      <c r="K54" s="12" t="n">
        <v>688.1259168549814</v>
      </c>
      <c r="L54" s="12" t="n">
        <v>0.2515910825823509</v>
      </c>
      <c r="M54" s="16" t="n">
        <v>0.5397441482745186</v>
      </c>
    </row>
    <row r="55">
      <c r="A55" s="10" t="n">
        <v>54</v>
      </c>
      <c r="B55" s="10" t="inlineStr">
        <is>
          <t>Illinois</t>
        </is>
      </c>
      <c r="C55" s="10" t="inlineStr">
        <is>
          <t>Champaign-Urbana, IL</t>
        </is>
      </c>
      <c r="D55" s="15" t="inlineStr">
        <is>
          <t>Champaign County, Illinois</t>
        </is>
      </c>
      <c r="E55" s="13" t="n">
        <v>212374</v>
      </c>
      <c r="F55" s="12" t="n">
        <v>0.00742053410391172</v>
      </c>
      <c r="G55" s="12" t="n">
        <v>0.03130574042959793</v>
      </c>
      <c r="H55" s="12" t="n">
        <v>0.3339020216601216</v>
      </c>
      <c r="I55" s="12" t="n">
        <v>0.0607608695652174</v>
      </c>
      <c r="J55" s="12" t="n">
        <v>0.09992456543956435</v>
      </c>
      <c r="K55" s="12" t="n">
        <v>391.6369587434696</v>
      </c>
      <c r="L55" s="12" t="n">
        <v>0.174066520013094</v>
      </c>
      <c r="M55" s="16" t="n">
        <v>0.5396609358169344</v>
      </c>
    </row>
    <row r="56">
      <c r="A56" s="10" t="n">
        <v>55</v>
      </c>
      <c r="B56" s="10" t="inlineStr">
        <is>
          <t>Minnesota</t>
        </is>
      </c>
      <c r="C56" s="10" t="inlineStr">
        <is>
          <t>Minneapolis-St. Paul-Bloomington, MN-WI</t>
        </is>
      </c>
      <c r="D56" s="15" t="inlineStr">
        <is>
          <t>Ramsey County, Minnesota</t>
        </is>
      </c>
      <c r="E56" s="13" t="n">
        <v>542015</v>
      </c>
      <c r="F56" s="12" t="n">
        <v>-0.00440606881152139</v>
      </c>
      <c r="G56" s="12" t="n">
        <v>0.01363576461510768</v>
      </c>
      <c r="H56" s="12" t="n">
        <v>0.3279658259968509</v>
      </c>
      <c r="I56" s="12" t="n">
        <v>0.06259259259259259</v>
      </c>
      <c r="J56" s="12" t="n">
        <v>0.07413775573461873</v>
      </c>
      <c r="K56" s="12" t="n">
        <v>115.4516314202614</v>
      </c>
      <c r="L56" s="12" t="n">
        <v>0.080233117801356</v>
      </c>
      <c r="M56" s="16" t="n">
        <v>0.5390936435752298</v>
      </c>
    </row>
    <row r="57">
      <c r="A57" s="10" t="n">
        <v>56</v>
      </c>
      <c r="B57" s="10" t="inlineStr">
        <is>
          <t>Florida</t>
        </is>
      </c>
      <c r="C57" s="10" t="inlineStr">
        <is>
          <t>Jacksonville, FL</t>
        </is>
      </c>
      <c r="D57" s="15" t="inlineStr">
        <is>
          <t>St. Johns County, Florida</t>
        </is>
      </c>
      <c r="E57" s="13" t="n">
        <v>334928</v>
      </c>
      <c r="F57" s="12" t="n">
        <v>0.05216704859168907</v>
      </c>
      <c r="G57" s="12" t="n">
        <v>0.3066754100563231</v>
      </c>
      <c r="H57" s="12" t="n">
        <v>0.3277382527422904</v>
      </c>
      <c r="I57" s="12" t="n">
        <v>0.07073529411764706</v>
      </c>
      <c r="J57" s="12" t="n">
        <v>0.1126184871106819</v>
      </c>
      <c r="K57" s="12" t="n">
        <v>418.8319299303483</v>
      </c>
      <c r="L57" s="12" t="n">
        <v>0.171741390984852</v>
      </c>
      <c r="M57" s="16" t="n">
        <v>0.5384992425645125</v>
      </c>
    </row>
    <row r="58">
      <c r="A58" s="10" t="n">
        <v>57</v>
      </c>
      <c r="B58" s="10" t="inlineStr">
        <is>
          <t>Oregon</t>
        </is>
      </c>
      <c r="C58" s="10" t="inlineStr">
        <is>
          <t>Salem, OR</t>
        </is>
      </c>
      <c r="D58" s="15" t="inlineStr">
        <is>
          <t>Marion County, Oregon</t>
        </is>
      </c>
      <c r="E58" s="13" t="n">
        <v>352867</v>
      </c>
      <c r="F58" s="12" t="n">
        <v>0.004737153665121786</v>
      </c>
      <c r="G58" s="12" t="n">
        <v>0.05332262257428347</v>
      </c>
      <c r="H58" s="12" t="n">
        <v>0.3024357468414227</v>
      </c>
      <c r="I58" s="12" t="n">
        <v>0.06405339805825243</v>
      </c>
      <c r="J58" s="12" t="n">
        <v>0.1014190102772731</v>
      </c>
      <c r="K58" s="12" t="n">
        <v>373.6561221902066</v>
      </c>
      <c r="L58" s="12" t="n">
        <v>0.1665800041544967</v>
      </c>
      <c r="M58" s="16" t="n">
        <v>0.5384401710482039</v>
      </c>
    </row>
    <row r="59">
      <c r="A59" s="10" t="n">
        <v>58</v>
      </c>
      <c r="B59" s="10" t="inlineStr">
        <is>
          <t>New York</t>
        </is>
      </c>
      <c r="C59" s="10" t="inlineStr">
        <is>
          <t>Rochester, NY</t>
        </is>
      </c>
      <c r="D59" s="15" t="inlineStr">
        <is>
          <t>Monroe County, New York</t>
        </is>
      </c>
      <c r="E59" s="13" t="n">
        <v>752202</v>
      </c>
      <c r="F59" s="12" t="n">
        <v>-0.001829436474179377</v>
      </c>
      <c r="G59" s="12" t="n">
        <v>0.06904915071893111</v>
      </c>
      <c r="H59" s="12" t="n">
        <v>0.3148924833274546</v>
      </c>
      <c r="I59" s="12" t="n">
        <v>0.06467821782178218</v>
      </c>
      <c r="J59" s="12" t="n">
        <v>0.1141316363973987</v>
      </c>
      <c r="K59" s="12" t="n">
        <v>494.5341857561651</v>
      </c>
      <c r="L59" s="12" t="n">
        <v>0.1996485079523842</v>
      </c>
      <c r="M59" s="16" t="n">
        <v>0.5366684505849669</v>
      </c>
    </row>
    <row r="60">
      <c r="A60" s="10" t="n">
        <v>59</v>
      </c>
      <c r="B60" s="10" t="inlineStr">
        <is>
          <t>Florida</t>
        </is>
      </c>
      <c r="C60" s="10" t="inlineStr">
        <is>
          <t>Orlando-Kissimmee-Sanford, FL</t>
        </is>
      </c>
      <c r="D60" s="15" t="inlineStr">
        <is>
          <t>Lake County, Florida</t>
        </is>
      </c>
      <c r="E60" s="13" t="n">
        <v>444204</v>
      </c>
      <c r="F60" s="12" t="n">
        <v>0.03751961225979836</v>
      </c>
      <c r="G60" s="12" t="n">
        <v>0.1969367856422388</v>
      </c>
      <c r="H60" s="12" t="n">
        <v>0.3505137870520926</v>
      </c>
      <c r="I60" s="12" t="n">
        <v>0.07073529411764706</v>
      </c>
      <c r="J60" s="12" t="n">
        <v>0.1058077267266243</v>
      </c>
      <c r="K60" s="12" t="n">
        <v>350.724326089772</v>
      </c>
      <c r="L60" s="12" t="n">
        <v>0.1516495931640203</v>
      </c>
      <c r="M60" s="16" t="n">
        <v>0.5362420297666467</v>
      </c>
    </row>
    <row r="61" ht="29" customHeight="1" s="54">
      <c r="A61" s="10" t="n">
        <v>60</v>
      </c>
      <c r="B61" s="10" t="inlineStr">
        <is>
          <t>Connecticut</t>
        </is>
      </c>
      <c r="C61" s="10" t="inlineStr">
        <is>
          <t>Norwich-New London-Willimantic, CT</t>
        </is>
      </c>
      <c r="D61" s="15" t="inlineStr">
        <is>
          <t>Southeastern Connecticut Planning Region</t>
        </is>
      </c>
      <c r="E61" s="13" t="n">
        <v>282602</v>
      </c>
      <c r="F61" s="12" t="n">
        <v>0.00379249153132959</v>
      </c>
      <c r="G61" s="12" t="n">
        <v>0.04259892727592158</v>
      </c>
      <c r="H61" s="12" t="n">
        <v>0.3209426862979378</v>
      </c>
      <c r="I61" s="12" t="n">
        <v>0.06259259259259259</v>
      </c>
      <c r="J61" s="12" t="n">
        <v>0.1175417664722951</v>
      </c>
      <c r="K61" s="12" t="n">
        <v>549.4917387970247</v>
      </c>
      <c r="L61" s="12" t="n">
        <v>0.2171140314835647</v>
      </c>
      <c r="M61" s="16" t="n">
        <v>0.5359922113793714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U1192"/>
  <sheetViews>
    <sheetView workbookViewId="0">
      <selection activeCell="A1" sqref="A1"/>
    </sheetView>
  </sheetViews>
  <sheetFormatPr baseColWidth="8" defaultRowHeight="14.5"/>
  <cols>
    <col width="34" customWidth="1" style="54" min="1" max="1"/>
  </cols>
  <sheetData>
    <row r="1">
      <c r="A1" s="116" t="inlineStr">
        <is>
          <t>County</t>
        </is>
      </c>
      <c r="B1" s="119" t="inlineStr">
        <is>
          <t>Population</t>
        </is>
      </c>
      <c r="C1" s="119" t="inlineStr">
        <is>
          <t>Growth5yr</t>
        </is>
      </c>
      <c r="D1" s="119" t="inlineStr">
        <is>
          <t>Pipeline</t>
        </is>
      </c>
      <c r="E1" s="119" t="inlineStr">
        <is>
          <t>Rank</t>
        </is>
      </c>
      <c r="F1" s="119" t="inlineStr">
        <is>
          <t>Score</t>
        </is>
      </c>
      <c r="G1" s="91" t="n"/>
      <c r="H1" s="91" t="n"/>
      <c r="I1" s="91" t="n"/>
      <c r="J1" s="90" t="n"/>
      <c r="K1" s="90" t="n"/>
      <c r="L1" s="90" t="n"/>
      <c r="M1" s="90" t="n"/>
      <c r="N1" s="56" t="n"/>
      <c r="O1" s="56" t="n"/>
      <c r="P1" s="56" t="n"/>
      <c r="Q1" s="56" t="n"/>
      <c r="R1" s="56" t="n"/>
      <c r="S1" s="56" t="n"/>
      <c r="T1" s="56" t="n"/>
      <c r="U1" s="57" t="n"/>
    </row>
    <row r="2">
      <c r="A2" s="90" t="inlineStr">
        <is>
          <t>Staten Island</t>
        </is>
      </c>
      <c r="B2" s="90" t="n">
        <v>498212</v>
      </c>
      <c r="C2" s="90" t="n">
        <v>0.001564794299483148</v>
      </c>
      <c r="D2" s="90" t="n">
        <v>0.02268289516625149</v>
      </c>
      <c r="E2" s="90" t="n">
        <v>1</v>
      </c>
      <c r="F2" s="91" t="n">
        <v>0.7046616155989541</v>
      </c>
      <c r="G2" s="91" t="n"/>
      <c r="H2" s="91" t="n"/>
      <c r="I2" s="91" t="n"/>
      <c r="J2" s="90" t="n"/>
      <c r="K2" s="90" t="n"/>
      <c r="L2" s="90" t="n"/>
      <c r="M2" s="90" t="n"/>
      <c r="N2" s="58" t="n"/>
      <c r="O2" s="58" t="n"/>
      <c r="P2" s="58" t="n"/>
      <c r="Q2" s="58" t="n"/>
      <c r="R2" s="58" t="n"/>
      <c r="S2" s="58" t="n"/>
      <c r="T2" s="58" t="n"/>
      <c r="U2" s="59" t="n"/>
    </row>
    <row r="3">
      <c r="A3" s="90" t="inlineStr">
        <is>
          <t>Montgomery County, Maryland</t>
        </is>
      </c>
      <c r="B3" s="90" t="n">
        <v>1082273</v>
      </c>
      <c r="C3" s="90" t="n">
        <v>0.005047103471159139</v>
      </c>
      <c r="D3" s="90" t="n">
        <v>0.1015749049357477</v>
      </c>
      <c r="E3" s="90" t="n">
        <v>2</v>
      </c>
      <c r="F3" s="91" t="n">
        <v>0.651156009704315</v>
      </c>
      <c r="G3" s="91" t="n"/>
      <c r="H3" s="91" t="n"/>
      <c r="I3" s="91" t="n"/>
      <c r="J3" s="90" t="n"/>
      <c r="K3" s="90" t="n"/>
      <c r="L3" s="90" t="n"/>
      <c r="M3" s="90" t="n"/>
      <c r="N3" s="60" t="n"/>
      <c r="O3" s="60" t="n"/>
      <c r="P3" s="60" t="n"/>
      <c r="Q3" s="60" t="n"/>
      <c r="R3" s="60" t="n"/>
      <c r="S3" s="60" t="n"/>
      <c r="T3" s="60" t="n"/>
      <c r="U3" s="61" t="n"/>
    </row>
    <row r="4">
      <c r="A4" s="92" t="inlineStr">
        <is>
          <t>Suffolk County, Massachusetts</t>
        </is>
      </c>
      <c r="B4" s="92" t="n">
        <v>793144</v>
      </c>
      <c r="C4" s="92" t="n">
        <v>-0.001284119316792079</v>
      </c>
      <c r="D4" s="92" t="n">
        <v>0.1554615283059295</v>
      </c>
      <c r="E4" s="92" t="n">
        <v>3</v>
      </c>
      <c r="F4" s="92" t="n">
        <v>0.6438461102931303</v>
      </c>
      <c r="H4" s="92" t="n"/>
      <c r="I4" s="92" t="n"/>
      <c r="J4" s="92" t="n"/>
      <c r="K4" s="92" t="n"/>
      <c r="L4" s="92" t="n"/>
      <c r="M4" s="92" t="n"/>
      <c r="N4" s="60" t="n"/>
      <c r="O4" s="60" t="n"/>
      <c r="P4" s="60" t="n"/>
      <c r="Q4" s="60" t="n"/>
      <c r="R4" s="60" t="n"/>
      <c r="S4" s="60" t="n"/>
      <c r="T4" s="60" t="n"/>
      <c r="U4" s="61" t="n"/>
    </row>
    <row r="5">
      <c r="A5" s="93" t="inlineStr">
        <is>
          <t>Washington, D.C.</t>
        </is>
      </c>
      <c r="B5" s="93" t="n">
        <v>702250</v>
      </c>
      <c r="C5" s="93" t="n">
        <v>0.0116754382434787</v>
      </c>
      <c r="D5" s="93" t="n">
        <v>0.09187401141398979</v>
      </c>
      <c r="E5" s="93" t="n">
        <v>4</v>
      </c>
      <c r="F5" s="93" t="n">
        <v>0.6426991139265605</v>
      </c>
      <c r="G5" s="94" t="n"/>
      <c r="H5" s="93" t="n"/>
      <c r="I5" s="93" t="n"/>
      <c r="J5" s="93" t="n"/>
      <c r="K5" s="93" t="n"/>
      <c r="L5" s="93" t="n"/>
      <c r="M5" s="93" t="n"/>
      <c r="N5" s="60" t="n"/>
      <c r="O5" s="60" t="n"/>
      <c r="P5" s="60" t="n"/>
      <c r="Q5" s="60" t="n"/>
      <c r="R5" s="60" t="n"/>
      <c r="S5" s="60" t="n"/>
      <c r="T5" s="60" t="n"/>
      <c r="U5" s="61" t="n"/>
    </row>
    <row r="6">
      <c r="A6" s="93" t="inlineStr">
        <is>
          <t>Arlington County, Virginia</t>
        </is>
      </c>
      <c r="B6" s="93" t="n">
        <v>239807</v>
      </c>
      <c r="C6" s="93" t="n">
        <v>0.001023745022589384</v>
      </c>
      <c r="D6" s="93" t="n">
        <v>0.1017281794254757</v>
      </c>
      <c r="E6" s="93" t="n">
        <v>5</v>
      </c>
      <c r="F6" s="93" t="n">
        <v>0.6109606134417676</v>
      </c>
      <c r="G6" s="94" t="n"/>
      <c r="H6" s="93" t="n"/>
      <c r="I6" s="93" t="n"/>
      <c r="J6" s="93" t="n"/>
      <c r="K6" s="93" t="n"/>
      <c r="L6" s="93" t="n"/>
      <c r="M6" s="93" t="n"/>
      <c r="N6" s="60" t="n"/>
      <c r="O6" s="60" t="n"/>
      <c r="P6" s="60" t="n"/>
      <c r="Q6" s="60" t="n"/>
      <c r="R6" s="60" t="n"/>
      <c r="S6" s="60" t="n"/>
      <c r="T6" s="60" t="n"/>
      <c r="U6" s="61" t="n"/>
    </row>
    <row r="7">
      <c r="A7" s="95" t="inlineStr">
        <is>
          <t>Middlesex County, Massachusetts</t>
        </is>
      </c>
      <c r="B7" s="93" t="n">
        <v>1668956</v>
      </c>
      <c r="C7" s="95" t="n">
        <v>0.006355762980330282</v>
      </c>
      <c r="D7" s="93" t="n">
        <v>0.06888672077566331</v>
      </c>
      <c r="E7" s="95" t="n">
        <v>6</v>
      </c>
      <c r="F7" s="93" t="n">
        <v>0.6088969606510662</v>
      </c>
      <c r="G7" s="94" t="n"/>
      <c r="H7" s="95" t="n"/>
      <c r="I7" s="93" t="n"/>
      <c r="J7" s="95" t="n"/>
      <c r="K7" s="93" t="n"/>
      <c r="L7" s="95" t="n"/>
      <c r="M7" s="93" t="n"/>
      <c r="N7" s="60" t="n"/>
      <c r="O7" s="60" t="n"/>
      <c r="P7" s="60" t="n"/>
      <c r="Q7" s="60" t="n"/>
      <c r="R7" s="60" t="n"/>
      <c r="S7" s="60" t="n"/>
      <c r="T7" s="60" t="n"/>
      <c r="U7" s="61" t="n"/>
    </row>
    <row r="8">
      <c r="A8" s="95" t="inlineStr">
        <is>
          <t>Essex County, New Jersey</t>
        </is>
      </c>
      <c r="B8" s="93" t="n">
        <v>881527</v>
      </c>
      <c r="C8" s="96" t="n">
        <v>0.006251889490942071</v>
      </c>
      <c r="D8" s="93" t="n">
        <v>0.1245908582782475</v>
      </c>
      <c r="E8" s="96" t="n">
        <v>7</v>
      </c>
      <c r="F8" s="93" t="n">
        <v>0.6038640649242107</v>
      </c>
      <c r="G8" s="94" t="n"/>
      <c r="H8" s="95" t="n"/>
      <c r="I8" s="93" t="n"/>
      <c r="J8" s="96" t="n"/>
      <c r="K8" s="93" t="n"/>
      <c r="L8" s="96" t="n"/>
      <c r="M8" s="93" t="n"/>
      <c r="N8" s="62" t="n"/>
      <c r="O8" s="62" t="n"/>
      <c r="P8" s="62" t="n"/>
      <c r="Q8" s="62" t="n"/>
      <c r="R8" s="62" t="n"/>
      <c r="S8" s="62" t="n"/>
      <c r="T8" s="62" t="n"/>
      <c r="U8" s="63" t="n"/>
    </row>
    <row r="9">
      <c r="A9" s="97" t="inlineStr">
        <is>
          <t>King County, Washington</t>
        </is>
      </c>
      <c r="B9" s="93" t="n">
        <v>2340211</v>
      </c>
      <c r="C9" s="97" t="n">
        <v>0.007239654072440069</v>
      </c>
      <c r="D9" s="93" t="n">
        <v>0.0581622445878884</v>
      </c>
      <c r="E9" s="97" t="n">
        <v>8</v>
      </c>
      <c r="F9" s="93" t="n">
        <v>0.60206853302861</v>
      </c>
      <c r="G9" s="94" t="n"/>
      <c r="H9" s="97" t="n"/>
      <c r="I9" s="93" t="n"/>
      <c r="J9" s="97" t="n"/>
      <c r="K9" s="93" t="n"/>
      <c r="L9" s="97" t="n"/>
      <c r="M9" s="93" t="n"/>
      <c r="N9" s="60" t="n"/>
      <c r="O9" s="60" t="n"/>
      <c r="P9" s="60" t="n"/>
      <c r="Q9" s="60" t="n"/>
      <c r="R9" s="60" t="n"/>
      <c r="S9" s="60" t="n"/>
      <c r="T9" s="60" t="n"/>
      <c r="U9" s="61" t="n"/>
    </row>
    <row r="10">
      <c r="A10" s="98" t="inlineStr">
        <is>
          <t>Snohomish County, Washington</t>
        </is>
      </c>
      <c r="B10" s="93" t="n">
        <v>864113</v>
      </c>
      <c r="C10" s="98" t="n">
        <v>0.01028283984457363</v>
      </c>
      <c r="D10" s="93" t="n">
        <v>0.03019893420276914</v>
      </c>
      <c r="E10" s="98" t="n">
        <v>9</v>
      </c>
      <c r="F10" s="93" t="n">
        <v>0.5929860965149296</v>
      </c>
      <c r="G10" s="94" t="n"/>
      <c r="H10" s="98" t="n"/>
      <c r="I10" s="93" t="n"/>
      <c r="J10" s="98" t="n"/>
      <c r="K10" s="93" t="n"/>
      <c r="L10" s="98" t="n"/>
      <c r="M10" s="93" t="n"/>
      <c r="N10" s="64" t="n"/>
      <c r="O10" s="64" t="n"/>
      <c r="P10" s="64" t="n"/>
      <c r="Q10" s="64" t="n"/>
      <c r="R10" s="64" t="n"/>
      <c r="S10" s="64" t="n"/>
      <c r="T10" s="64" t="n"/>
      <c r="U10" s="65" t="n"/>
    </row>
    <row r="11">
      <c r="A11" s="98" t="inlineStr">
        <is>
          <t>Fairfax County, Virginia</t>
        </is>
      </c>
      <c r="B11" s="93" t="n">
        <v>1160925</v>
      </c>
      <c r="C11" s="98" t="n">
        <v>0.002665015496047637</v>
      </c>
      <c r="D11" s="93" t="n">
        <v>0.08403030816816287</v>
      </c>
      <c r="E11" s="98" t="n">
        <v>10</v>
      </c>
      <c r="F11" s="93" t="n">
        <v>0.5927625432506428</v>
      </c>
      <c r="G11" s="94" t="n"/>
      <c r="H11" s="98" t="n"/>
      <c r="I11" s="93" t="n"/>
      <c r="J11" s="98" t="n"/>
      <c r="K11" s="93" t="n"/>
      <c r="L11" s="98" t="n"/>
      <c r="M11" s="93" t="n"/>
      <c r="N11" s="60" t="n"/>
      <c r="O11" s="60" t="n"/>
      <c r="P11" s="60" t="n"/>
      <c r="Q11" s="60" t="n"/>
      <c r="R11" s="60" t="n"/>
      <c r="S11" s="60" t="n"/>
      <c r="T11" s="60" t="n"/>
      <c r="U11" s="61" t="n"/>
    </row>
    <row r="12">
      <c r="A12" s="93" t="inlineStr">
        <is>
          <t>Barnstable County, Massachusetts</t>
        </is>
      </c>
      <c r="B12" s="93" t="n">
        <v>232570</v>
      </c>
      <c r="C12" s="93" t="n">
        <v>0.004943874419012541</v>
      </c>
      <c r="D12" s="93" t="n">
        <v>0.02428465054572372</v>
      </c>
      <c r="E12" s="93" t="n">
        <v>11</v>
      </c>
      <c r="F12" s="93" t="n">
        <v>0.5904249984947876</v>
      </c>
      <c r="G12" s="94" t="n"/>
      <c r="H12" s="93" t="n"/>
      <c r="I12" s="93" t="n"/>
      <c r="J12" s="93" t="n"/>
      <c r="K12" s="93" t="n"/>
      <c r="L12" s="93" t="n"/>
      <c r="M12" s="93" t="n"/>
      <c r="N12" s="60" t="n"/>
      <c r="O12" s="60" t="n"/>
      <c r="P12" s="60" t="n"/>
      <c r="Q12" s="60" t="n"/>
      <c r="R12" s="60" t="n"/>
      <c r="S12" s="60" t="n"/>
      <c r="T12" s="60" t="n"/>
      <c r="U12" s="61" t="n"/>
    </row>
    <row r="13">
      <c r="A13" s="93" t="inlineStr">
        <is>
          <t>Pinal County, Arizona</t>
        </is>
      </c>
      <c r="B13" s="93" t="n">
        <v>513862</v>
      </c>
      <c r="C13" s="93" t="n">
        <v>0.04860906109299347</v>
      </c>
      <c r="D13" s="93" t="n">
        <v>0.1948575211565201</v>
      </c>
      <c r="E13" s="93" t="n">
        <v>12</v>
      </c>
      <c r="F13" s="93" t="n">
        <v>0.5886730050143161</v>
      </c>
      <c r="G13" s="94" t="n"/>
      <c r="H13" s="93" t="n"/>
      <c r="I13" s="93" t="n"/>
      <c r="J13" s="93" t="n"/>
      <c r="K13" s="93" t="n"/>
      <c r="L13" s="93" t="n"/>
      <c r="M13" s="93" t="n"/>
      <c r="N13" s="66" t="n"/>
      <c r="O13" s="66" t="n"/>
      <c r="P13" s="66" t="n"/>
      <c r="Q13" s="66" t="n"/>
      <c r="R13" s="66" t="n"/>
      <c r="S13" s="66" t="n"/>
      <c r="T13" s="66" t="n"/>
      <c r="U13" s="67" t="n"/>
    </row>
    <row r="14">
      <c r="A14" s="99" t="inlineStr">
        <is>
          <t>Adams County, Colorado</t>
        </is>
      </c>
      <c r="B14" s="100" t="n">
        <v>542973</v>
      </c>
      <c r="C14" s="99" t="n">
        <v>0.010785430639153</v>
      </c>
      <c r="D14" s="100" t="n">
        <v>0.006098263826130252</v>
      </c>
      <c r="E14" s="99" t="n">
        <v>13</v>
      </c>
      <c r="F14" s="100" t="n">
        <v>0.5886267543725423</v>
      </c>
      <c r="G14" s="101" t="n"/>
      <c r="H14" s="99" t="n"/>
      <c r="I14" s="100" t="n"/>
      <c r="J14" s="99" t="n"/>
      <c r="K14" s="100" t="n"/>
      <c r="L14" s="99" t="n"/>
      <c r="M14" s="100" t="n"/>
      <c r="N14" s="68" t="n"/>
      <c r="O14" s="68" t="n"/>
      <c r="P14" s="68" t="n"/>
      <c r="Q14" s="68" t="n"/>
      <c r="R14" s="68" t="n"/>
      <c r="S14" s="68" t="n"/>
      <c r="T14" s="68" t="n"/>
      <c r="U14" s="69" t="n"/>
    </row>
    <row r="15">
      <c r="A15" s="99" t="inlineStr">
        <is>
          <t>Nassau County, New York</t>
        </is>
      </c>
      <c r="B15" s="100" t="n">
        <v>1392438</v>
      </c>
      <c r="C15" s="99" t="n">
        <v>0.000333313197908217</v>
      </c>
      <c r="D15" s="100" t="n">
        <v>0.04265993027753558</v>
      </c>
      <c r="E15" s="99" t="n">
        <v>14</v>
      </c>
      <c r="F15" s="100" t="n">
        <v>0.5877887238311725</v>
      </c>
      <c r="G15" s="101" t="n"/>
      <c r="H15" s="99" t="n"/>
      <c r="I15" s="100" t="n"/>
      <c r="J15" s="99" t="n"/>
      <c r="K15" s="100" t="n"/>
      <c r="L15" s="99" t="n"/>
      <c r="M15" s="100" t="n"/>
      <c r="N15" s="70" t="n"/>
      <c r="O15" s="70" t="n"/>
      <c r="P15" s="70" t="n"/>
      <c r="Q15" s="70" t="n"/>
      <c r="R15" s="70" t="n"/>
      <c r="S15" s="70" t="n"/>
      <c r="T15" s="70" t="n"/>
      <c r="U15" s="71" t="n"/>
    </row>
    <row r="16">
      <c r="A16" s="99" t="inlineStr">
        <is>
          <t>Westchester County, New York</t>
        </is>
      </c>
      <c r="B16" s="100" t="n">
        <v>1006447</v>
      </c>
      <c r="C16" s="99" t="n">
        <v>0.00123765712853561</v>
      </c>
      <c r="D16" s="100" t="n">
        <v>0.2281506626864526</v>
      </c>
      <c r="E16" s="99" t="n">
        <v>15</v>
      </c>
      <c r="F16" s="100" t="n">
        <v>0.5815342823826202</v>
      </c>
      <c r="G16" s="101" t="n"/>
      <c r="H16" s="99" t="n"/>
      <c r="I16" s="100" t="n"/>
      <c r="J16" s="99" t="n"/>
      <c r="K16" s="100" t="n"/>
      <c r="L16" s="99" t="n"/>
      <c r="M16" s="100" t="n"/>
      <c r="N16" s="70" t="n"/>
      <c r="O16" s="70" t="n"/>
      <c r="P16" s="70" t="n"/>
      <c r="Q16" s="70" t="n"/>
      <c r="R16" s="70" t="n"/>
      <c r="S16" s="70" t="n"/>
      <c r="T16" s="70" t="n"/>
      <c r="U16" s="71" t="n"/>
    </row>
    <row r="17">
      <c r="A17" s="102" t="inlineStr">
        <is>
          <t>Douglas County, Colorado</t>
        </is>
      </c>
      <c r="B17" s="100" t="n">
        <v>393995</v>
      </c>
      <c r="C17" s="102" t="n">
        <v>0.0233593374906682</v>
      </c>
      <c r="D17" s="100" t="n">
        <v>0.03680884561651971</v>
      </c>
      <c r="E17" s="102" t="n">
        <v>16</v>
      </c>
      <c r="F17" s="100" t="n">
        <v>0.5805322235777691</v>
      </c>
      <c r="G17" s="101" t="n"/>
      <c r="H17" s="102" t="n"/>
      <c r="I17" s="100" t="n"/>
      <c r="J17" s="102" t="n"/>
      <c r="K17" s="100" t="n"/>
      <c r="L17" s="102" t="n"/>
      <c r="M17" s="100" t="n"/>
      <c r="N17" s="68" t="n"/>
      <c r="O17" s="68" t="n"/>
      <c r="P17" s="68" t="n"/>
      <c r="Q17" s="68" t="n"/>
      <c r="R17" s="68" t="n"/>
      <c r="S17" s="68" t="n"/>
      <c r="T17" s="68" t="n"/>
      <c r="U17" s="69" t="n"/>
    </row>
    <row r="18">
      <c r="A18" s="102" t="inlineStr">
        <is>
          <t>Howard County, Maryland</t>
        </is>
      </c>
      <c r="B18" s="100" t="n">
        <v>339668</v>
      </c>
      <c r="C18" s="102" t="n">
        <v>0.005143155029280004</v>
      </c>
      <c r="D18" s="100" t="n">
        <v>0.1197228575501666</v>
      </c>
      <c r="E18" s="102" t="n">
        <v>17</v>
      </c>
      <c r="F18" s="100" t="n">
        <v>0.5785866021386691</v>
      </c>
      <c r="G18" s="101" t="n"/>
      <c r="H18" s="102" t="n"/>
      <c r="I18" s="100" t="n"/>
      <c r="J18" s="102" t="n"/>
      <c r="K18" s="100" t="n"/>
      <c r="L18" s="102" t="n"/>
      <c r="M18" s="100" t="n"/>
      <c r="N18" s="68" t="n"/>
      <c r="O18" s="68" t="n"/>
      <c r="P18" s="68" t="n"/>
      <c r="Q18" s="68" t="n"/>
      <c r="R18" s="68" t="n"/>
      <c r="S18" s="68" t="n"/>
      <c r="T18" s="68" t="n"/>
      <c r="U18" s="69" t="n"/>
    </row>
    <row r="19">
      <c r="A19" s="102" t="inlineStr">
        <is>
          <t>Wake County, North Carolina</t>
        </is>
      </c>
      <c r="B19" s="100" t="n">
        <v>1232444</v>
      </c>
      <c r="C19" s="102" t="n">
        <v>0.02249724505480705</v>
      </c>
      <c r="D19" s="100" t="n">
        <v>0.09420672574385248</v>
      </c>
      <c r="E19" s="102" t="n">
        <v>18</v>
      </c>
      <c r="F19" s="100" t="n">
        <v>0.5773703707172126</v>
      </c>
      <c r="G19" s="101" t="n"/>
      <c r="H19" s="102" t="n"/>
      <c r="I19" s="100" t="n"/>
      <c r="J19" s="102" t="n"/>
      <c r="K19" s="100" t="n"/>
      <c r="L19" s="102" t="n"/>
      <c r="M19" s="100" t="n"/>
      <c r="N19" s="68" t="n"/>
      <c r="O19" s="68" t="n"/>
      <c r="P19" s="68" t="n"/>
      <c r="Q19" s="68" t="n"/>
      <c r="R19" s="68" t="n"/>
      <c r="S19" s="68" t="n"/>
      <c r="T19" s="68" t="n"/>
      <c r="U19" s="69" t="n"/>
    </row>
    <row r="20">
      <c r="A20" s="99" t="inlineStr">
        <is>
          <t>Washington County, Minnesota</t>
        </is>
      </c>
      <c r="B20" s="100" t="n">
        <v>283960</v>
      </c>
      <c r="C20" s="99" t="n">
        <v>0.01449329359165425</v>
      </c>
      <c r="D20" s="100" t="n">
        <v>0</v>
      </c>
      <c r="E20" s="99" t="n">
        <v>19</v>
      </c>
      <c r="F20" s="100" t="n">
        <v>0.5759784162194989</v>
      </c>
      <c r="G20" s="101" t="n"/>
      <c r="H20" s="99" t="n"/>
      <c r="I20" s="100" t="n"/>
      <c r="J20" s="99" t="n"/>
      <c r="K20" s="100" t="n"/>
      <c r="L20" s="99" t="n"/>
      <c r="M20" s="100" t="n"/>
      <c r="N20" s="70" t="n"/>
      <c r="O20" s="70" t="n"/>
      <c r="P20" s="70" t="n"/>
      <c r="Q20" s="70" t="n"/>
      <c r="R20" s="70" t="n"/>
      <c r="S20" s="70" t="n"/>
      <c r="T20" s="70" t="n"/>
      <c r="U20" s="71" t="n"/>
    </row>
    <row r="21">
      <c r="A21" s="99" t="inlineStr">
        <is>
          <t>Denver</t>
        </is>
      </c>
      <c r="B21" s="100" t="n">
        <v>729019</v>
      </c>
      <c r="C21" s="99" t="n">
        <v>0.003971112845238427</v>
      </c>
      <c r="D21" s="100" t="n">
        <v>0.0860278385550021</v>
      </c>
      <c r="E21" s="99" t="n">
        <v>20</v>
      </c>
      <c r="F21" s="100" t="n">
        <v>0.5747989047328891</v>
      </c>
      <c r="G21" s="101" t="n"/>
      <c r="H21" s="99" t="n"/>
      <c r="I21" s="100" t="n"/>
      <c r="J21" s="99" t="n"/>
      <c r="K21" s="100" t="n"/>
      <c r="L21" s="99" t="n"/>
      <c r="M21" s="100" t="n"/>
      <c r="N21" s="72" t="n"/>
      <c r="O21" s="72" t="n"/>
      <c r="P21" s="72" t="n"/>
      <c r="Q21" s="72" t="n"/>
      <c r="R21" s="72" t="n"/>
      <c r="S21" s="72" t="n"/>
      <c r="T21" s="72" t="n"/>
      <c r="U21" s="73" t="n"/>
    </row>
    <row r="22">
      <c r="A22" s="103" t="inlineStr">
        <is>
          <t>Hudson County, New Jersey</t>
        </is>
      </c>
      <c r="B22" s="103" t="n">
        <v>736185</v>
      </c>
      <c r="C22" s="103" t="n">
        <v>0.004943836411514471</v>
      </c>
      <c r="D22" s="103" t="n">
        <v>0.0950804248921468</v>
      </c>
      <c r="E22" s="103" t="n">
        <v>21</v>
      </c>
      <c r="F22" s="103" t="n">
        <v>0.5730356164887409</v>
      </c>
      <c r="G22" s="104" t="n"/>
      <c r="H22" s="103" t="n"/>
      <c r="I22" s="103" t="n"/>
      <c r="J22" s="103" t="n"/>
      <c r="K22" s="103" t="n"/>
      <c r="L22" s="103" t="n"/>
      <c r="M22" s="103" t="n"/>
      <c r="N22" s="74" t="n"/>
      <c r="O22" s="74" t="n"/>
      <c r="P22" s="74" t="n"/>
      <c r="Q22" s="74" t="n"/>
      <c r="R22" s="74" t="n"/>
      <c r="S22" s="74" t="n"/>
      <c r="T22" s="74" t="n"/>
      <c r="U22" s="75" t="n"/>
    </row>
    <row r="23">
      <c r="A23" s="95" t="inlineStr">
        <is>
          <t>Union County, North Carolina</t>
        </is>
      </c>
      <c r="B23" s="97" t="n">
        <v>263386</v>
      </c>
      <c r="C23" s="95" t="n">
        <v>0.02471754948099196</v>
      </c>
      <c r="D23" s="97" t="n">
        <v>0.0864352484198178</v>
      </c>
      <c r="E23" s="95" t="n">
        <v>22</v>
      </c>
      <c r="F23" s="97" t="n">
        <v>0.5726710019569816</v>
      </c>
      <c r="G23" s="94" t="n"/>
      <c r="H23" s="95" t="n"/>
      <c r="I23" s="97" t="n"/>
      <c r="J23" s="95" t="n"/>
      <c r="K23" s="97" t="n"/>
      <c r="L23" s="95" t="n"/>
      <c r="M23" s="97" t="n"/>
      <c r="N23" s="76" t="n"/>
      <c r="O23" s="76" t="n"/>
      <c r="P23" s="76" t="n"/>
      <c r="Q23" s="76" t="n"/>
      <c r="R23" s="76" t="n"/>
      <c r="S23" s="76" t="n"/>
      <c r="T23" s="76" t="n"/>
      <c r="U23" s="77" t="n"/>
    </row>
    <row r="24">
      <c r="A24" s="93" t="inlineStr">
        <is>
          <t>Williamson County, Tennessee</t>
        </is>
      </c>
      <c r="B24" s="93" t="n">
        <v>269136</v>
      </c>
      <c r="C24" s="93" t="n">
        <v>0.01955002884430485</v>
      </c>
      <c r="D24" s="93" t="n">
        <v>0.09363192916145506</v>
      </c>
      <c r="E24" s="93" t="n">
        <v>23</v>
      </c>
      <c r="F24" s="93" t="n">
        <v>0.5725815198758409</v>
      </c>
      <c r="G24" s="94" t="n"/>
      <c r="H24" s="93" t="n"/>
      <c r="I24" s="93" t="n"/>
      <c r="J24" s="93" t="n"/>
      <c r="K24" s="93" t="n"/>
      <c r="L24" s="93" t="n"/>
      <c r="M24" s="93" t="n"/>
      <c r="N24" s="76" t="n"/>
      <c r="O24" s="76" t="n"/>
      <c r="P24" s="76" t="n"/>
      <c r="Q24" s="76" t="n"/>
      <c r="R24" s="76" t="n"/>
      <c r="S24" s="76" t="n"/>
      <c r="T24" s="76" t="n"/>
      <c r="U24" s="77" t="n"/>
    </row>
    <row r="25">
      <c r="A25" s="93" t="inlineStr">
        <is>
          <t>Cumberland County, Maine</t>
        </is>
      </c>
      <c r="B25" s="93" t="n">
        <v>313809</v>
      </c>
      <c r="C25" s="93" t="n">
        <v>0.008401513804075018</v>
      </c>
      <c r="D25" s="93" t="n">
        <v>0.06840129195153542</v>
      </c>
      <c r="E25" s="93" t="n">
        <v>24</v>
      </c>
      <c r="F25" s="93" t="n">
        <v>0.5723357738069744</v>
      </c>
      <c r="G25" s="94" t="n"/>
      <c r="H25" s="93" t="n"/>
      <c r="I25" s="93" t="n"/>
      <c r="J25" s="93" t="n"/>
      <c r="K25" s="93" t="n"/>
      <c r="L25" s="93" t="n"/>
      <c r="M25" s="93" t="n"/>
      <c r="N25" s="76" t="n"/>
      <c r="O25" s="76" t="n"/>
      <c r="P25" s="76" t="n"/>
      <c r="Q25" s="76" t="n"/>
      <c r="R25" s="76" t="n"/>
      <c r="S25" s="76" t="n"/>
      <c r="T25" s="76" t="n"/>
      <c r="U25" s="77" t="n"/>
    </row>
    <row r="26">
      <c r="A26" s="99" t="inlineStr">
        <is>
          <t>Loudoun County, Virginia</t>
        </is>
      </c>
      <c r="B26" s="100" t="n">
        <v>443380</v>
      </c>
      <c r="C26" s="99" t="n">
        <v>0.01221662885624865</v>
      </c>
      <c r="D26" s="100" t="n">
        <v>0.05343174220575646</v>
      </c>
      <c r="E26" s="99" t="n">
        <v>25</v>
      </c>
      <c r="F26" s="100" t="n">
        <v>0.5721844500179217</v>
      </c>
      <c r="G26" s="101" t="n"/>
      <c r="H26" s="99" t="n"/>
      <c r="I26" s="100" t="n"/>
      <c r="J26" s="99" t="n"/>
      <c r="K26" s="100" t="n"/>
      <c r="L26" s="99" t="n"/>
      <c r="M26" s="100" t="n"/>
      <c r="N26" s="76" t="n"/>
      <c r="O26" s="76" t="n"/>
      <c r="P26" s="76" t="n"/>
      <c r="Q26" s="76" t="n"/>
      <c r="R26" s="76" t="n"/>
      <c r="S26" s="76" t="n"/>
      <c r="T26" s="76" t="n"/>
      <c r="U26" s="77" t="n"/>
    </row>
    <row r="27">
      <c r="A27" s="99" t="inlineStr">
        <is>
          <t>Alachua County, Florida</t>
        </is>
      </c>
      <c r="B27" s="100" t="n">
        <v>291782</v>
      </c>
      <c r="C27" s="99" t="n">
        <v>0.01073847693599986</v>
      </c>
      <c r="D27" s="100" t="n">
        <v>0.1934170160010927</v>
      </c>
      <c r="E27" s="99" t="n">
        <v>26</v>
      </c>
      <c r="F27" s="100" t="n">
        <v>0.5697300571785413</v>
      </c>
      <c r="G27" s="101" t="n"/>
      <c r="H27" s="99" t="n"/>
      <c r="I27" s="100" t="n"/>
      <c r="J27" s="99" t="n"/>
      <c r="K27" s="100" t="n"/>
      <c r="L27" s="99" t="n"/>
      <c r="M27" s="100" t="n"/>
      <c r="N27" s="78" t="n"/>
      <c r="O27" s="78" t="n"/>
      <c r="P27" s="78" t="n"/>
      <c r="Q27" s="78" t="n"/>
      <c r="R27" s="78" t="n"/>
      <c r="S27" s="78" t="n"/>
      <c r="T27" s="78" t="n"/>
      <c r="U27" s="79" t="n"/>
    </row>
    <row r="28">
      <c r="A28" s="99" t="inlineStr">
        <is>
          <t>Charleston County, South Carolina</t>
        </is>
      </c>
      <c r="B28" s="100" t="n">
        <v>431001</v>
      </c>
      <c r="C28" s="99" t="n">
        <v>0.01283241210075179</v>
      </c>
      <c r="D28" s="100" t="n">
        <v>0.05549728070932782</v>
      </c>
      <c r="E28" s="99" t="n">
        <v>27</v>
      </c>
      <c r="F28" s="100" t="n">
        <v>0.5649027602570887</v>
      </c>
      <c r="G28" s="101" t="n"/>
      <c r="H28" s="99" t="n"/>
      <c r="I28" s="100" t="n"/>
      <c r="J28" s="99" t="n"/>
      <c r="K28" s="100" t="n"/>
      <c r="L28" s="99" t="n"/>
      <c r="M28" s="100" t="n"/>
      <c r="N28" s="78" t="n"/>
      <c r="O28" s="78" t="n"/>
      <c r="P28" s="78" t="n"/>
      <c r="Q28" s="78" t="n"/>
      <c r="R28" s="78" t="n"/>
      <c r="S28" s="78" t="n"/>
      <c r="T28" s="78" t="n"/>
      <c r="U28" s="79" t="n"/>
    </row>
    <row r="29">
      <c r="A29" s="102" t="inlineStr">
        <is>
          <t>Davidson County, Tennessee</t>
        </is>
      </c>
      <c r="B29" s="100" t="n">
        <v>729505</v>
      </c>
      <c r="C29" s="102" t="n">
        <v>0.004681641402327903</v>
      </c>
      <c r="D29" s="100" t="n">
        <v>0.06671940501851854</v>
      </c>
      <c r="E29" s="102" t="n">
        <v>28</v>
      </c>
      <c r="F29" s="100" t="n">
        <v>0.5636820694846327</v>
      </c>
      <c r="G29" s="101" t="n"/>
      <c r="H29" s="102" t="n"/>
      <c r="I29" s="100" t="n"/>
      <c r="J29" s="102" t="n"/>
      <c r="K29" s="100" t="n"/>
      <c r="L29" s="102" t="n"/>
      <c r="M29" s="100" t="n"/>
      <c r="N29" s="68" t="n"/>
      <c r="O29" s="68" t="n"/>
      <c r="P29" s="68" t="n"/>
      <c r="Q29" s="68" t="n"/>
      <c r="R29" s="68" t="n"/>
      <c r="S29" s="68" t="n"/>
      <c r="T29" s="68" t="n"/>
      <c r="U29" s="69" t="n"/>
    </row>
    <row r="30">
      <c r="A30" s="102" t="inlineStr">
        <is>
          <t>Prince George's County, Maryland</t>
        </is>
      </c>
      <c r="B30" s="100" t="n">
        <v>966629</v>
      </c>
      <c r="C30" s="102" t="n">
        <v>0.0003187804408130119</v>
      </c>
      <c r="D30" s="100" t="n">
        <v>0.1261261721610786</v>
      </c>
      <c r="E30" s="102" t="n">
        <v>29</v>
      </c>
      <c r="F30" s="100" t="n">
        <v>0.5604784624565495</v>
      </c>
      <c r="G30" s="101" t="n"/>
      <c r="H30" s="102" t="n"/>
      <c r="I30" s="100" t="n"/>
      <c r="J30" s="102" t="n"/>
      <c r="K30" s="100" t="n"/>
      <c r="L30" s="102" t="n"/>
      <c r="M30" s="100" t="n"/>
      <c r="N30" s="80" t="n"/>
      <c r="O30" s="80" t="n"/>
      <c r="P30" s="80" t="n"/>
      <c r="Q30" s="80" t="n"/>
      <c r="R30" s="80" t="n"/>
      <c r="S30" s="80" t="n"/>
      <c r="T30" s="80" t="n"/>
      <c r="U30" s="81" t="n"/>
    </row>
    <row r="31">
      <c r="A31" s="102" t="inlineStr">
        <is>
          <t>Johnston County, North Carolina</t>
        </is>
      </c>
      <c r="B31" s="100" t="n">
        <v>249794</v>
      </c>
      <c r="C31" s="102" t="n">
        <v>0.03721726012528401</v>
      </c>
      <c r="D31" s="100" t="n">
        <v>0.05014260652956538</v>
      </c>
      <c r="E31" s="102" t="n">
        <v>30</v>
      </c>
      <c r="F31" s="100" t="n">
        <v>0.5602706060806233</v>
      </c>
      <c r="G31" s="101" t="n"/>
      <c r="H31" s="102" t="n"/>
      <c r="I31" s="100" t="n"/>
      <c r="J31" s="102" t="n"/>
      <c r="K31" s="100" t="n"/>
      <c r="L31" s="102" t="n"/>
      <c r="M31" s="100" t="n"/>
      <c r="N31" s="68" t="n"/>
      <c r="O31" s="68" t="n"/>
      <c r="P31" s="68" t="n"/>
      <c r="Q31" s="68" t="n"/>
      <c r="R31" s="68" t="n"/>
      <c r="S31" s="68" t="n"/>
      <c r="T31" s="68" t="n"/>
      <c r="U31" s="69" t="n"/>
    </row>
    <row r="32">
      <c r="A32" s="99" t="inlineStr">
        <is>
          <t>Norfolk County, Massachusetts</t>
        </is>
      </c>
      <c r="B32" s="100" t="n">
        <v>740754</v>
      </c>
      <c r="C32" s="99" t="n">
        <v>0.005873575129533679</v>
      </c>
      <c r="D32" s="100" t="n">
        <v>0.113693195247111</v>
      </c>
      <c r="E32" s="99" t="n">
        <v>31</v>
      </c>
      <c r="F32" s="100" t="n">
        <v>0.5597331685070025</v>
      </c>
      <c r="G32" s="101" t="n"/>
      <c r="H32" s="99" t="n"/>
      <c r="I32" s="100" t="n"/>
      <c r="J32" s="99" t="n"/>
      <c r="K32" s="100" t="n"/>
      <c r="L32" s="99" t="n"/>
      <c r="M32" s="100" t="n"/>
      <c r="N32" s="70" t="n"/>
      <c r="O32" s="70" t="n"/>
      <c r="P32" s="70" t="n"/>
      <c r="Q32" s="70" t="n"/>
      <c r="R32" s="70" t="n"/>
      <c r="S32" s="70" t="n"/>
      <c r="T32" s="70" t="n"/>
      <c r="U32" s="71" t="n"/>
    </row>
    <row r="33">
      <c r="A33" s="99" t="inlineStr">
        <is>
          <t>Berkeley County, South Carolina</t>
        </is>
      </c>
      <c r="B33" s="100" t="n">
        <v>264276</v>
      </c>
      <c r="C33" s="99" t="n">
        <v>0.03538538625015118</v>
      </c>
      <c r="D33" s="100" t="n">
        <v>0.09050152132762536</v>
      </c>
      <c r="E33" s="102" t="n">
        <v>32</v>
      </c>
      <c r="F33" s="100" t="n">
        <v>0.5589518071747696</v>
      </c>
      <c r="G33" s="101" t="n"/>
      <c r="H33" s="99" t="n"/>
      <c r="I33" s="100" t="n"/>
      <c r="J33" s="99" t="n"/>
      <c r="K33" s="100" t="n"/>
      <c r="L33" s="102" t="n"/>
      <c r="M33" s="100" t="n"/>
      <c r="N33" s="80" t="n"/>
      <c r="O33" s="80" t="n"/>
      <c r="P33" s="80" t="n"/>
      <c r="Q33" s="80" t="n"/>
      <c r="R33" s="80" t="n"/>
      <c r="S33" s="80" t="n"/>
      <c r="T33" s="80" t="n"/>
      <c r="U33" s="81" t="n"/>
    </row>
    <row r="34">
      <c r="A34" s="103" t="inlineStr">
        <is>
          <t>Hays County, Texas</t>
        </is>
      </c>
      <c r="B34" s="103" t="n">
        <v>292029</v>
      </c>
      <c r="C34" s="103" t="n">
        <v>0.04922475695526009</v>
      </c>
      <c r="D34" s="103" t="n">
        <v>0.09108491117369123</v>
      </c>
      <c r="E34" s="103" t="n">
        <v>33</v>
      </c>
      <c r="F34" s="103" t="n">
        <v>0.5585426480261497</v>
      </c>
      <c r="G34" s="104" t="n"/>
      <c r="H34" s="103" t="n"/>
      <c r="I34" s="103" t="n"/>
      <c r="J34" s="103" t="n"/>
      <c r="K34" s="103" t="n"/>
      <c r="L34" s="103" t="n"/>
      <c r="M34" s="103" t="n"/>
      <c r="N34" s="70" t="n"/>
      <c r="O34" s="70" t="n"/>
      <c r="P34" s="70" t="n"/>
      <c r="Q34" s="70" t="n"/>
      <c r="R34" s="70" t="n"/>
      <c r="S34" s="70" t="n"/>
      <c r="T34" s="70" t="n"/>
      <c r="U34" s="71" t="n"/>
    </row>
    <row r="35" ht="15" customHeight="1" s="54" thickBot="1">
      <c r="A35" s="95" t="inlineStr">
        <is>
          <t>Montgomery County, Tennessee</t>
        </is>
      </c>
      <c r="B35" s="97" t="n">
        <v>246025</v>
      </c>
      <c r="C35" s="95" t="n">
        <v>0.02792023821896082</v>
      </c>
      <c r="D35" s="97" t="n">
        <v>0.02230732610828324</v>
      </c>
      <c r="E35" s="95" t="n">
        <v>34</v>
      </c>
      <c r="F35" s="97" t="n">
        <v>0.5560286815807882</v>
      </c>
      <c r="G35" s="94" t="n"/>
      <c r="H35" s="95" t="n"/>
      <c r="I35" s="97" t="n"/>
      <c r="J35" s="95" t="n"/>
      <c r="K35" s="97" t="n"/>
      <c r="L35" s="95" t="n"/>
      <c r="M35" s="97" t="n"/>
      <c r="N35" s="82" t="n"/>
      <c r="O35" s="82" t="n"/>
      <c r="P35" s="82" t="n"/>
      <c r="Q35" s="82" t="n"/>
      <c r="R35" s="82" t="n"/>
      <c r="S35" s="82" t="n"/>
      <c r="T35" s="82" t="n"/>
      <c r="U35" s="83" t="n"/>
    </row>
    <row r="36">
      <c r="A36" s="93" t="inlineStr">
        <is>
          <t>St. Louis County, Minnesota</t>
        </is>
      </c>
      <c r="B36" s="93" t="n">
        <v>200794</v>
      </c>
      <c r="C36" s="93" t="n">
        <v>0.0008883813217514732</v>
      </c>
      <c r="D36" s="93" t="n">
        <v>0</v>
      </c>
      <c r="E36" s="93" t="n">
        <v>35</v>
      </c>
      <c r="F36" s="93" t="n">
        <v>0.5555623430205389</v>
      </c>
      <c r="G36" s="94" t="n"/>
      <c r="H36" s="93" t="n"/>
      <c r="I36" s="93" t="n"/>
      <c r="J36" s="93" t="n"/>
      <c r="K36" s="93" t="n"/>
      <c r="L36" s="93" t="n"/>
      <c r="M36" s="93" t="n"/>
      <c r="N36" s="84" t="n"/>
      <c r="O36" s="84" t="n"/>
      <c r="P36" s="84" t="n"/>
      <c r="Q36" s="84" t="n"/>
      <c r="R36" s="84" t="n"/>
      <c r="S36" s="84" t="n"/>
      <c r="T36" s="84" t="n"/>
      <c r="U36" s="84" t="n"/>
    </row>
    <row r="37">
      <c r="A37" s="95" t="inlineStr">
        <is>
          <t>Passaic County, New Jersey</t>
        </is>
      </c>
      <c r="B37" s="97" t="n">
        <v>526597</v>
      </c>
      <c r="C37" s="95" t="n">
        <v>0.001496282456864273</v>
      </c>
      <c r="D37" s="97" t="n">
        <v>0.03344924106533564</v>
      </c>
      <c r="E37" s="105" t="n">
        <v>36</v>
      </c>
      <c r="F37" s="97" t="n">
        <v>0.5549167001378159</v>
      </c>
      <c r="G37" s="94" t="n"/>
      <c r="H37" s="95" t="n"/>
      <c r="I37" s="97" t="n"/>
      <c r="J37" s="95" t="n"/>
      <c r="K37" s="97" t="n"/>
      <c r="L37" s="105" t="n"/>
      <c r="M37" s="97" t="n"/>
    </row>
    <row r="38">
      <c r="A38" s="93" t="inlineStr">
        <is>
          <t>Whatcom County, Washington</t>
        </is>
      </c>
      <c r="B38" s="93" t="n">
        <v>234954</v>
      </c>
      <c r="C38" s="93" t="n">
        <v>0.008246831185618001</v>
      </c>
      <c r="D38" s="93" t="n">
        <v>0.03672731038203815</v>
      </c>
      <c r="E38" s="93" t="n">
        <v>37</v>
      </c>
      <c r="F38" s="93" t="n">
        <v>0.5537139818823806</v>
      </c>
      <c r="G38" s="94" t="n"/>
      <c r="H38" s="93" t="n"/>
      <c r="I38" s="93" t="n"/>
      <c r="J38" s="93" t="n"/>
      <c r="K38" s="93" t="n"/>
      <c r="L38" s="93" t="n"/>
      <c r="M38" s="93" t="n"/>
      <c r="N38" s="85" t="n"/>
      <c r="O38" s="85" t="n"/>
      <c r="P38" s="85" t="n"/>
      <c r="Q38" s="85" t="n"/>
      <c r="R38" s="85" t="n"/>
      <c r="S38" s="85" t="n"/>
      <c r="T38" s="85" t="n"/>
      <c r="U38" s="85" t="n"/>
    </row>
    <row r="39">
      <c r="A39" s="93" t="inlineStr">
        <is>
          <t>Wayne County, Michigan</t>
        </is>
      </c>
      <c r="B39" s="93" t="n">
        <v>1771063</v>
      </c>
      <c r="C39" s="93" t="n">
        <v>-0.002597148612442063</v>
      </c>
      <c r="D39" s="93" t="n">
        <v>0.07384461316658464</v>
      </c>
      <c r="E39" s="93" t="n">
        <v>38</v>
      </c>
      <c r="F39" s="93" t="n">
        <v>0.5536601044946248</v>
      </c>
      <c r="G39" s="94" t="n"/>
      <c r="H39" s="93" t="n"/>
      <c r="I39" s="93" t="n"/>
      <c r="J39" s="93" t="n"/>
      <c r="K39" s="93" t="n"/>
      <c r="L39" s="93" t="n"/>
      <c r="M39" s="93" t="n"/>
      <c r="N39" s="84" t="n"/>
      <c r="O39" s="84" t="n"/>
      <c r="P39" s="84" t="n"/>
      <c r="Q39" s="84" t="n"/>
      <c r="R39" s="84" t="n"/>
      <c r="S39" s="84" t="n"/>
      <c r="T39" s="84" t="n"/>
      <c r="U39" s="84" t="n"/>
    </row>
    <row r="40">
      <c r="A40" s="99" t="inlineStr">
        <is>
          <t>Brazos County, Texas</t>
        </is>
      </c>
      <c r="B40" s="100" t="n">
        <v>249624</v>
      </c>
      <c r="C40" s="99" t="n">
        <v>0.01610664563034347</v>
      </c>
      <c r="D40" s="100" t="n">
        <v>0.1171361283552741</v>
      </c>
      <c r="E40" s="99" t="n">
        <v>39</v>
      </c>
      <c r="F40" s="100" t="n">
        <v>0.5530511732558847</v>
      </c>
      <c r="G40" s="101" t="n"/>
      <c r="H40" s="99" t="n"/>
      <c r="I40" s="100" t="n"/>
      <c r="J40" s="99" t="n"/>
      <c r="K40" s="100" t="n"/>
      <c r="L40" s="99" t="n"/>
      <c r="M40" s="100" t="n"/>
      <c r="N40" s="84" t="n"/>
      <c r="O40" s="84" t="n"/>
      <c r="P40" s="84" t="n"/>
      <c r="Q40" s="84" t="n"/>
      <c r="R40" s="84" t="n"/>
      <c r="S40" s="84" t="n"/>
      <c r="T40" s="84" t="n"/>
      <c r="U40" s="84" t="n"/>
    </row>
    <row r="41">
      <c r="A41" s="99" t="inlineStr">
        <is>
          <t>Travis County, Texas</t>
        </is>
      </c>
      <c r="B41" s="100" t="n">
        <v>1363767</v>
      </c>
      <c r="C41" s="99" t="n">
        <v>0.01294857358804884</v>
      </c>
      <c r="D41" s="100" t="n">
        <v>0.0761698383720366</v>
      </c>
      <c r="E41" s="99" t="n">
        <v>40</v>
      </c>
      <c r="F41" s="100" t="n">
        <v>0.5529614897200305</v>
      </c>
      <c r="G41" s="101" t="n"/>
      <c r="H41" s="99" t="n"/>
      <c r="I41" s="100" t="n"/>
      <c r="J41" s="99" t="n"/>
      <c r="K41" s="100" t="n"/>
      <c r="L41" s="99" t="n"/>
      <c r="M41" s="100" t="n"/>
      <c r="N41" s="84" t="n"/>
      <c r="O41" s="84" t="n"/>
      <c r="P41" s="84" t="n"/>
      <c r="Q41" s="84" t="n"/>
      <c r="R41" s="84" t="n"/>
      <c r="S41" s="84" t="n"/>
      <c r="T41" s="84" t="n"/>
      <c r="U41" s="84" t="n"/>
    </row>
    <row r="42">
      <c r="A42" s="99" t="inlineStr">
        <is>
          <t>Kitsap County, Washington</t>
        </is>
      </c>
      <c r="B42" s="100" t="n">
        <v>281420</v>
      </c>
      <c r="C42" s="99" t="n">
        <v>0.005064677049798428</v>
      </c>
      <c r="D42" s="100" t="n">
        <v>0.02123848069086173</v>
      </c>
      <c r="E42" s="99" t="n">
        <v>41</v>
      </c>
      <c r="F42" s="100" t="n">
        <v>0.5519047833802675</v>
      </c>
      <c r="G42" s="101" t="n"/>
      <c r="H42" s="99" t="n"/>
      <c r="I42" s="100" t="n"/>
      <c r="J42" s="99" t="n"/>
      <c r="K42" s="100" t="n"/>
      <c r="L42" s="99" t="n"/>
      <c r="M42" s="100" t="n"/>
      <c r="N42" s="84" t="n"/>
      <c r="O42" s="84" t="n"/>
      <c r="P42" s="84" t="n"/>
      <c r="Q42" s="84" t="n"/>
      <c r="R42" s="84" t="n"/>
      <c r="S42" s="84" t="n"/>
      <c r="T42" s="84" t="n"/>
      <c r="U42" s="84" t="n"/>
    </row>
    <row r="43">
      <c r="A43" s="99" t="inlineStr">
        <is>
          <t>Tuscaloosa County, Alabama</t>
        </is>
      </c>
      <c r="B43" s="100" t="n">
        <v>241212</v>
      </c>
      <c r="C43" s="99" t="n">
        <v>0.009199401678909612</v>
      </c>
      <c r="D43" s="100" t="n">
        <v>0.03548689525311854</v>
      </c>
      <c r="E43" s="99" t="n">
        <v>42</v>
      </c>
      <c r="F43" s="100" t="n">
        <v>0.5505363487917749</v>
      </c>
      <c r="G43" s="101" t="n"/>
      <c r="H43" s="99" t="n"/>
      <c r="I43" s="100" t="n"/>
      <c r="J43" s="99" t="n"/>
      <c r="K43" s="100" t="n"/>
      <c r="L43" s="99" t="n"/>
      <c r="M43" s="100" t="n"/>
      <c r="N43" s="84" t="n"/>
      <c r="O43" s="84" t="n"/>
      <c r="P43" s="84" t="n"/>
      <c r="Q43" s="84" t="n"/>
      <c r="R43" s="84" t="n"/>
      <c r="S43" s="84" t="n"/>
      <c r="T43" s="84" t="n"/>
      <c r="U43" s="84" t="n"/>
    </row>
    <row r="44">
      <c r="A44" s="99" t="inlineStr">
        <is>
          <t>Fayette County, Kentucky</t>
        </is>
      </c>
      <c r="B44" s="100" t="n">
        <v>329437</v>
      </c>
      <c r="C44" s="99" t="n">
        <v>0.005276200453773386</v>
      </c>
      <c r="D44" s="100" t="n">
        <v>0.005615863086749616</v>
      </c>
      <c r="E44" s="99" t="n">
        <v>43</v>
      </c>
      <c r="F44" s="100" t="n">
        <v>0.5478306281714862</v>
      </c>
      <c r="G44" s="101" t="n"/>
      <c r="H44" s="99" t="n"/>
      <c r="I44" s="100" t="n"/>
      <c r="J44" s="99" t="n"/>
      <c r="K44" s="100" t="n"/>
      <c r="L44" s="99" t="n"/>
      <c r="M44" s="100" t="n"/>
      <c r="N44" s="84" t="n"/>
      <c r="O44" s="84" t="n"/>
      <c r="P44" s="84" t="n"/>
      <c r="Q44" s="84" t="n"/>
      <c r="R44" s="84" t="n"/>
      <c r="S44" s="84" t="n"/>
      <c r="T44" s="84" t="n"/>
      <c r="U44" s="84" t="n"/>
    </row>
    <row r="45">
      <c r="A45" s="103" t="inlineStr">
        <is>
          <t>Frederick County, Maryland</t>
        </is>
      </c>
      <c r="B45" s="103" t="n">
        <v>299317</v>
      </c>
      <c r="C45" s="103" t="n">
        <v>0.02431384193528284</v>
      </c>
      <c r="D45" s="103" t="n">
        <v>0.2517818166704657</v>
      </c>
      <c r="E45" s="103" t="n">
        <v>44</v>
      </c>
      <c r="F45" s="103" t="n">
        <v>0.5475833709652814</v>
      </c>
      <c r="G45" s="104" t="n"/>
      <c r="H45" s="103" t="n"/>
      <c r="I45" s="103" t="n"/>
      <c r="J45" s="103" t="n"/>
      <c r="K45" s="103" t="n"/>
      <c r="L45" s="103" t="n"/>
      <c r="M45" s="103" t="n"/>
      <c r="N45" s="84" t="n"/>
      <c r="O45" s="84" t="n"/>
      <c r="P45" s="84" t="n"/>
      <c r="Q45" s="84" t="n"/>
      <c r="R45" s="84" t="n"/>
      <c r="S45" s="84" t="n"/>
      <c r="T45" s="84" t="n"/>
      <c r="U45" s="84" t="n"/>
    </row>
    <row r="46">
      <c r="A46" s="95" t="inlineStr">
        <is>
          <t>Hamilton County, Indiana</t>
        </is>
      </c>
      <c r="B46" s="97" t="n">
        <v>379704</v>
      </c>
      <c r="C46" s="95" t="n">
        <v>0.02197011153737061</v>
      </c>
      <c r="D46" s="97" t="n">
        <v>0.04217467089447699</v>
      </c>
      <c r="E46" s="95" t="n">
        <v>45</v>
      </c>
      <c r="F46" s="97" t="n">
        <v>0.5462541846768676</v>
      </c>
      <c r="G46" s="94" t="n"/>
      <c r="H46" s="95" t="n"/>
      <c r="I46" s="97" t="n"/>
      <c r="J46" s="95" t="n"/>
      <c r="K46" s="97" t="n"/>
      <c r="L46" s="95" t="n"/>
      <c r="M46" s="97" t="n"/>
      <c r="N46" s="84" t="n"/>
      <c r="O46" s="84" t="n"/>
      <c r="P46" s="84" t="n"/>
      <c r="Q46" s="84" t="n"/>
      <c r="R46" s="84" t="n"/>
      <c r="S46" s="84" t="n"/>
      <c r="T46" s="84" t="n"/>
      <c r="U46" s="84" t="n"/>
    </row>
    <row r="47">
      <c r="A47" s="93" t="inlineStr">
        <is>
          <t>Henrico County, Virginia</t>
        </is>
      </c>
      <c r="B47" s="93" t="n">
        <v>338696</v>
      </c>
      <c r="C47" s="93" t="n">
        <v>0.002804241966447622</v>
      </c>
      <c r="D47" s="93" t="n">
        <v>0.0762840958352405</v>
      </c>
      <c r="E47" s="93" t="n">
        <v>46</v>
      </c>
      <c r="F47" s="93" t="n">
        <v>0.544264894214732</v>
      </c>
      <c r="G47" s="94" t="n"/>
      <c r="H47" s="93" t="n"/>
      <c r="I47" s="93" t="n"/>
      <c r="J47" s="93" t="n"/>
      <c r="K47" s="93" t="n"/>
      <c r="L47" s="93" t="n"/>
      <c r="M47" s="93" t="n"/>
      <c r="N47" s="84" t="n"/>
      <c r="O47" s="84" t="n"/>
      <c r="P47" s="84" t="n"/>
      <c r="Q47" s="84" t="n"/>
      <c r="R47" s="84" t="n"/>
      <c r="S47" s="84" t="n"/>
      <c r="T47" s="84" t="n"/>
      <c r="U47" s="84" t="n"/>
    </row>
    <row r="48">
      <c r="A48" s="95" t="inlineStr">
        <is>
          <t>Clackamas County, Oregon</t>
        </is>
      </c>
      <c r="B48" s="97" t="n">
        <v>425857</v>
      </c>
      <c r="C48" s="95" t="n">
        <v>0.00197923372590601</v>
      </c>
      <c r="D48" s="97" t="n">
        <v>0.0256781236858569</v>
      </c>
      <c r="E48" s="105" t="n">
        <v>47</v>
      </c>
      <c r="F48" s="97" t="n">
        <v>0.5440060164750858</v>
      </c>
      <c r="G48" s="94" t="n"/>
      <c r="H48" s="95" t="n"/>
      <c r="I48" s="97" t="n"/>
      <c r="J48" s="95" t="n"/>
      <c r="K48" s="97" t="n"/>
      <c r="L48" s="105" t="n"/>
      <c r="M48" s="97" t="n"/>
      <c r="N48" s="84" t="n"/>
      <c r="O48" s="84" t="n"/>
      <c r="P48" s="84" t="n"/>
      <c r="Q48" s="84" t="n"/>
      <c r="R48" s="84" t="n"/>
      <c r="S48" s="84" t="n"/>
      <c r="T48" s="84" t="n"/>
      <c r="U48" s="84" t="n"/>
    </row>
    <row r="49">
      <c r="A49" s="93" t="inlineStr">
        <is>
          <t>Dane County, Wisconsin</t>
        </is>
      </c>
      <c r="B49" s="93" t="n">
        <v>588347</v>
      </c>
      <c r="C49" s="93" t="n">
        <v>0.01143178344175465</v>
      </c>
      <c r="D49" s="93" t="n">
        <v>0.08173295531978501</v>
      </c>
      <c r="E49" s="93" t="n">
        <v>48</v>
      </c>
      <c r="F49" s="93" t="n">
        <v>0.5431269979251646</v>
      </c>
      <c r="G49" s="94" t="n"/>
      <c r="H49" s="93" t="n"/>
      <c r="I49" s="93" t="n"/>
      <c r="J49" s="93" t="n"/>
      <c r="K49" s="93" t="n"/>
      <c r="L49" s="93" t="n"/>
      <c r="M49" s="93" t="n"/>
      <c r="N49" s="84" t="n"/>
      <c r="O49" s="84" t="n"/>
      <c r="P49" s="84" t="n"/>
      <c r="Q49" s="84" t="n"/>
      <c r="R49" s="84" t="n"/>
      <c r="S49" s="84" t="n"/>
      <c r="T49" s="84" t="n"/>
      <c r="U49" s="84" t="n"/>
    </row>
    <row r="50">
      <c r="A50" s="99" t="inlineStr">
        <is>
          <t>Providence County, Rhode Island</t>
        </is>
      </c>
      <c r="B50" s="100" t="n">
        <v>675912</v>
      </c>
      <c r="C50" s="99" t="n">
        <v>0.006010205380247377</v>
      </c>
      <c r="D50" s="100" t="n">
        <v>0.2538820373870275</v>
      </c>
      <c r="E50" s="99" t="n">
        <v>49</v>
      </c>
      <c r="F50" s="100" t="n">
        <v>0.5427729118622122</v>
      </c>
      <c r="G50" s="101" t="n"/>
      <c r="H50" s="99" t="n"/>
      <c r="I50" s="100" t="n"/>
      <c r="J50" s="99" t="n"/>
      <c r="K50" s="100" t="n"/>
      <c r="L50" s="99" t="n"/>
      <c r="M50" s="100" t="n"/>
      <c r="N50" s="84" t="n"/>
      <c r="O50" s="84" t="n"/>
      <c r="P50" s="84" t="n"/>
      <c r="Q50" s="84" t="n"/>
      <c r="R50" s="84" t="n"/>
      <c r="S50" s="84" t="n"/>
      <c r="T50" s="84" t="n"/>
      <c r="U50" s="84" t="n"/>
    </row>
    <row r="51">
      <c r="A51" s="106" t="inlineStr">
        <is>
          <t>Washington County, Oregon</t>
        </is>
      </c>
      <c r="B51" s="106" t="n">
        <v>611272</v>
      </c>
      <c r="C51" s="106" t="n">
        <v>0.00425384122653046</v>
      </c>
      <c r="D51" s="106" t="n">
        <v>0.07755479216872713</v>
      </c>
      <c r="E51" s="106" t="n">
        <v>50</v>
      </c>
      <c r="F51" s="106" t="n">
        <v>0.5427718671325106</v>
      </c>
      <c r="G51" s="101" t="n"/>
      <c r="H51" s="106" t="n"/>
      <c r="I51" s="106" t="n"/>
      <c r="J51" s="106" t="n"/>
      <c r="K51" s="106" t="n"/>
      <c r="L51" s="106" t="n"/>
      <c r="M51" s="106" t="n"/>
      <c r="N51" s="84" t="n"/>
      <c r="O51" s="84" t="n"/>
      <c r="P51" s="84" t="n"/>
      <c r="Q51" s="84" t="n"/>
      <c r="R51" s="84" t="n"/>
      <c r="S51" s="84" t="n"/>
      <c r="T51" s="84" t="n"/>
      <c r="U51" s="84" t="n"/>
    </row>
    <row r="52">
      <c r="A52" s="95" t="inlineStr">
        <is>
          <t>Luzerne County, Pennsylvania</t>
        </is>
      </c>
      <c r="B52" s="97" t="n">
        <v>331379</v>
      </c>
      <c r="C52" s="95" t="n">
        <v>0.004732920897110282</v>
      </c>
      <c r="D52" s="97" t="n">
        <v>0</v>
      </c>
      <c r="E52" s="105" t="n">
        <v>51</v>
      </c>
      <c r="F52" s="97" t="n">
        <v>0.5406927129600039</v>
      </c>
      <c r="G52" s="94" t="n"/>
      <c r="H52" s="95" t="n"/>
      <c r="I52" s="97" t="n"/>
      <c r="J52" s="95" t="n"/>
      <c r="K52" s="97" t="n"/>
      <c r="L52" s="105" t="n"/>
      <c r="M52" s="97" t="n"/>
      <c r="N52" s="84" t="n"/>
      <c r="O52" s="84" t="n"/>
      <c r="P52" s="84" t="n"/>
      <c r="Q52" s="84" t="n"/>
      <c r="R52" s="84" t="n"/>
      <c r="S52" s="84" t="n"/>
      <c r="T52" s="84" t="n"/>
      <c r="U52" s="84" t="n"/>
    </row>
    <row r="53">
      <c r="A53" s="93" t="inlineStr">
        <is>
          <t>Polk County, Florida</t>
        </is>
      </c>
      <c r="B53" s="93" t="n">
        <v>852878</v>
      </c>
      <c r="C53" s="93" t="n">
        <v>0.04200990442069685</v>
      </c>
      <c r="D53" s="93" t="n">
        <v>0.1088195696679975</v>
      </c>
      <c r="E53" s="93" t="n">
        <v>52</v>
      </c>
      <c r="F53" s="93" t="n">
        <v>0.5398240571093752</v>
      </c>
      <c r="G53" s="94" t="n"/>
      <c r="H53" s="93" t="n"/>
      <c r="I53" s="93" t="n"/>
      <c r="J53" s="93" t="n"/>
      <c r="K53" s="93" t="n"/>
      <c r="L53" s="93" t="n"/>
      <c r="M53" s="93" t="n"/>
      <c r="N53" s="84" t="n"/>
      <c r="O53" s="84" t="n"/>
      <c r="P53" s="84" t="n"/>
      <c r="Q53" s="84" t="n"/>
      <c r="R53" s="84" t="n"/>
      <c r="S53" s="84" t="n"/>
      <c r="T53" s="84" t="n"/>
      <c r="U53" s="84" t="n"/>
    </row>
    <row r="54">
      <c r="A54" s="93" t="inlineStr">
        <is>
          <t>Northampton County, Pennsylvania</t>
        </is>
      </c>
      <c r="B54" s="93" t="n">
        <v>322989</v>
      </c>
      <c r="C54" s="93" t="n">
        <v>0.00813512995108852</v>
      </c>
      <c r="D54" s="93" t="n">
        <v>0.1661226480394689</v>
      </c>
      <c r="E54" s="93" t="n">
        <v>53</v>
      </c>
      <c r="F54" s="93" t="n">
        <v>0.5397441482745186</v>
      </c>
      <c r="G54" s="94" t="n"/>
      <c r="H54" s="93" t="n"/>
      <c r="I54" s="93" t="n"/>
      <c r="J54" s="93" t="n"/>
      <c r="K54" s="93" t="n"/>
      <c r="L54" s="93" t="n"/>
      <c r="M54" s="93" t="n"/>
      <c r="N54" s="84" t="n"/>
      <c r="O54" s="84" t="n"/>
      <c r="P54" s="84" t="n"/>
      <c r="Q54" s="84" t="n"/>
      <c r="R54" s="84" t="n"/>
      <c r="S54" s="84" t="n"/>
      <c r="T54" s="84" t="n"/>
      <c r="U54" s="84" t="n"/>
    </row>
    <row r="55">
      <c r="A55" s="99" t="inlineStr">
        <is>
          <t>Champaign County, Illinois</t>
        </is>
      </c>
      <c r="B55" s="100" t="n">
        <v>212374</v>
      </c>
      <c r="C55" s="99" t="n">
        <v>0.00742053410391172</v>
      </c>
      <c r="D55" s="100" t="n">
        <v>0.03130574042959793</v>
      </c>
      <c r="E55" s="99" t="n">
        <v>54</v>
      </c>
      <c r="F55" s="100" t="n">
        <v>0.5396609358169344</v>
      </c>
      <c r="G55" s="101" t="n"/>
      <c r="H55" s="99" t="n"/>
      <c r="I55" s="100" t="n"/>
      <c r="J55" s="99" t="n"/>
      <c r="K55" s="100" t="n"/>
      <c r="L55" s="99" t="n"/>
      <c r="M55" s="100" t="n"/>
      <c r="N55" s="84" t="n"/>
      <c r="O55" s="84" t="n"/>
      <c r="P55" s="84" t="n"/>
      <c r="Q55" s="84" t="n"/>
      <c r="R55" s="84" t="n"/>
      <c r="S55" s="84" t="n"/>
      <c r="T55" s="84" t="n"/>
      <c r="U55" s="84" t="n"/>
    </row>
    <row r="56">
      <c r="A56" s="99" t="inlineStr">
        <is>
          <t>Ramsey County, Minnesota</t>
        </is>
      </c>
      <c r="B56" s="100" t="n">
        <v>542015</v>
      </c>
      <c r="C56" s="99" t="n">
        <v>-0.00440606881152139</v>
      </c>
      <c r="D56" s="100" t="n">
        <v>0.01363576461510768</v>
      </c>
      <c r="E56" s="99" t="n">
        <v>55</v>
      </c>
      <c r="F56" s="100" t="n">
        <v>0.5390936435752298</v>
      </c>
      <c r="G56" s="101" t="n"/>
      <c r="H56" s="99" t="n"/>
      <c r="I56" s="100" t="n"/>
      <c r="J56" s="99" t="n"/>
      <c r="K56" s="100" t="n"/>
      <c r="L56" s="99" t="n"/>
      <c r="M56" s="100" t="n"/>
      <c r="N56" s="84" t="n"/>
      <c r="O56" s="84" t="n"/>
      <c r="P56" s="84" t="n"/>
      <c r="Q56" s="84" t="n"/>
      <c r="R56" s="84" t="n"/>
      <c r="S56" s="84" t="n"/>
      <c r="T56" s="84" t="n"/>
      <c r="U56" s="84" t="n"/>
    </row>
    <row r="57">
      <c r="A57" s="102" t="inlineStr">
        <is>
          <t>St. Johns County, Florida</t>
        </is>
      </c>
      <c r="B57" s="100" t="n">
        <v>334928</v>
      </c>
      <c r="C57" s="102" t="n">
        <v>0.05216704859168907</v>
      </c>
      <c r="D57" s="100" t="n">
        <v>0.3066754100563231</v>
      </c>
      <c r="E57" s="102" t="n">
        <v>56</v>
      </c>
      <c r="F57" s="100" t="n">
        <v>0.5384992425645125</v>
      </c>
      <c r="G57" s="101" t="n"/>
      <c r="H57" s="102" t="n"/>
      <c r="I57" s="100" t="n"/>
      <c r="J57" s="102" t="n"/>
      <c r="K57" s="100" t="n"/>
      <c r="L57" s="102" t="n"/>
      <c r="M57" s="100" t="n"/>
      <c r="N57" s="84" t="n"/>
      <c r="O57" s="84" t="n"/>
      <c r="P57" s="84" t="n"/>
      <c r="Q57" s="84" t="n"/>
      <c r="R57" s="84" t="n"/>
      <c r="S57" s="84" t="n"/>
      <c r="T57" s="84" t="n"/>
      <c r="U57" s="84" t="n"/>
    </row>
    <row r="58">
      <c r="A58" s="102" t="inlineStr">
        <is>
          <t>Marion County, Oregon</t>
        </is>
      </c>
      <c r="B58" s="100" t="n">
        <v>352867</v>
      </c>
      <c r="C58" s="102" t="n">
        <v>0.004737153665121786</v>
      </c>
      <c r="D58" s="100" t="n">
        <v>0.05332262257428347</v>
      </c>
      <c r="E58" s="102" t="n">
        <v>57</v>
      </c>
      <c r="F58" s="100" t="n">
        <v>0.5384401710482039</v>
      </c>
      <c r="G58" s="101" t="n"/>
      <c r="H58" s="102" t="n"/>
      <c r="I58" s="100" t="n"/>
      <c r="J58" s="102" t="n"/>
      <c r="K58" s="100" t="n"/>
      <c r="L58" s="102" t="n"/>
      <c r="M58" s="100" t="n"/>
      <c r="N58" s="84" t="n"/>
      <c r="O58" s="84" t="n"/>
      <c r="P58" s="84" t="n"/>
      <c r="Q58" s="84" t="n"/>
      <c r="R58" s="84" t="n"/>
      <c r="S58" s="84" t="n"/>
      <c r="T58" s="84" t="n"/>
      <c r="U58" s="84" t="n"/>
    </row>
    <row r="59">
      <c r="A59" s="103" t="inlineStr">
        <is>
          <t>Monroe County, New York</t>
        </is>
      </c>
      <c r="B59" s="103" t="n">
        <v>752202</v>
      </c>
      <c r="C59" s="103" t="n">
        <v>-0.001829436474179377</v>
      </c>
      <c r="D59" s="103" t="n">
        <v>0.06904915071893111</v>
      </c>
      <c r="E59" s="103" t="n">
        <v>58</v>
      </c>
      <c r="F59" s="103" t="n">
        <v>0.5366684505849669</v>
      </c>
      <c r="G59" s="104" t="n"/>
      <c r="H59" s="103" t="n"/>
      <c r="I59" s="103" t="n"/>
      <c r="J59" s="103" t="n"/>
      <c r="K59" s="103" t="n"/>
      <c r="L59" s="103" t="n"/>
      <c r="M59" s="103" t="n"/>
      <c r="N59" s="84" t="n"/>
      <c r="O59" s="84" t="n"/>
      <c r="P59" s="84" t="n"/>
      <c r="Q59" s="84" t="n"/>
      <c r="R59" s="84" t="n"/>
      <c r="S59" s="84" t="n"/>
      <c r="T59" s="84" t="n"/>
      <c r="U59" s="84" t="n"/>
    </row>
    <row r="60">
      <c r="A60" s="95" t="inlineStr">
        <is>
          <t>Lake County, Florida</t>
        </is>
      </c>
      <c r="B60" s="97" t="n">
        <v>444204</v>
      </c>
      <c r="C60" s="95" t="n">
        <v>0.03751961225979836</v>
      </c>
      <c r="D60" s="97" t="n">
        <v>0.1969367856422388</v>
      </c>
      <c r="E60" s="95" t="n">
        <v>59</v>
      </c>
      <c r="F60" s="97" t="n">
        <v>0.5362420297666467</v>
      </c>
      <c r="G60" s="94" t="n"/>
      <c r="H60" s="95" t="n"/>
      <c r="I60" s="97" t="n"/>
      <c r="J60" s="95" t="n"/>
      <c r="K60" s="97" t="n"/>
      <c r="L60" s="95" t="n"/>
      <c r="M60" s="97" t="n"/>
      <c r="N60" s="84" t="n"/>
      <c r="O60" s="84" t="n"/>
      <c r="P60" s="84" t="n"/>
      <c r="Q60" s="84" t="n"/>
      <c r="R60" s="84" t="n"/>
      <c r="S60" s="84" t="n"/>
      <c r="T60" s="84" t="n"/>
      <c r="U60" s="84" t="n"/>
    </row>
    <row r="61">
      <c r="A61" s="93" t="inlineStr">
        <is>
          <t>Southeastern Connecticut Planning Region</t>
        </is>
      </c>
      <c r="B61" s="93" t="n">
        <v>282602</v>
      </c>
      <c r="C61" s="93" t="n">
        <v>0.00379249153132959</v>
      </c>
      <c r="D61" s="93" t="n">
        <v>0.04259892727592158</v>
      </c>
      <c r="E61" s="93" t="n">
        <v>60</v>
      </c>
      <c r="F61" s="93" t="n">
        <v>0.5359922113793714</v>
      </c>
      <c r="G61" s="94" t="n"/>
      <c r="H61" s="93" t="n"/>
      <c r="I61" s="93" t="n"/>
      <c r="J61" s="93" t="n"/>
      <c r="K61" s="93" t="n"/>
      <c r="L61" s="93" t="n"/>
      <c r="M61" s="93" t="n"/>
      <c r="N61" s="84" t="n"/>
      <c r="O61" s="84" t="n"/>
      <c r="P61" s="84" t="n"/>
      <c r="Q61" s="84" t="n"/>
      <c r="R61" s="84" t="n"/>
      <c r="S61" s="84" t="n"/>
      <c r="T61" s="84" t="n"/>
      <c r="U61" s="84" t="n"/>
    </row>
    <row r="62">
      <c r="A62" s="107" t="inlineStr">
        <is>
          <t>Plymouth County, Massachusetts</t>
        </is>
      </c>
      <c r="B62" s="107" t="n">
        <v>542090</v>
      </c>
      <c r="C62" s="107" t="n">
        <v>0.006450892603708175</v>
      </c>
      <c r="D62" s="107" t="n">
        <v>0.1461080262919572</v>
      </c>
      <c r="E62" s="107" t="n">
        <v>61</v>
      </c>
      <c r="F62" s="90" t="n">
        <v>0.5354264145796588</v>
      </c>
      <c r="G62" s="90" t="n"/>
      <c r="H62" s="90" t="n"/>
      <c r="I62" s="90" t="n"/>
      <c r="J62" s="90" t="n"/>
      <c r="K62" s="90" t="n"/>
      <c r="L62" s="90" t="n"/>
      <c r="M62" s="90" t="n"/>
      <c r="N62" s="84" t="n"/>
      <c r="O62" s="84" t="n"/>
      <c r="P62" s="84" t="n"/>
      <c r="Q62" s="84" t="n"/>
      <c r="R62" s="84" t="n"/>
      <c r="S62" s="84" t="n"/>
      <c r="T62" s="84" t="n"/>
      <c r="U62" s="84" t="n"/>
    </row>
    <row r="63">
      <c r="A63" s="90" t="inlineStr">
        <is>
          <t>Washtenaw County, Michigan</t>
        </is>
      </c>
      <c r="B63" s="90" t="n">
        <v>373875</v>
      </c>
      <c r="C63" s="90" t="n">
        <v>0.0013621120401023</v>
      </c>
      <c r="D63" s="90" t="n">
        <v>0.08244477978965555</v>
      </c>
      <c r="E63" s="90" t="n">
        <v>62</v>
      </c>
      <c r="F63" s="91" t="n">
        <v>0.5345287973729823</v>
      </c>
      <c r="G63" s="91" t="n"/>
      <c r="H63" s="91" t="n"/>
      <c r="I63" s="91" t="n"/>
      <c r="J63" s="90" t="n"/>
      <c r="K63" s="90" t="n"/>
      <c r="L63" s="90" t="n"/>
      <c r="M63" s="90" t="n"/>
      <c r="N63" s="84" t="n"/>
      <c r="O63" s="84" t="n"/>
      <c r="P63" s="84" t="n"/>
      <c r="Q63" s="84" t="n"/>
      <c r="R63" s="84" t="n"/>
      <c r="S63" s="84" t="n"/>
      <c r="T63" s="84" t="n"/>
      <c r="U63" s="84" t="n"/>
    </row>
    <row r="64">
      <c r="A64" s="90" t="inlineStr">
        <is>
          <t>Denton County, Texas</t>
        </is>
      </c>
      <c r="B64" s="90" t="n">
        <v>1045120</v>
      </c>
      <c r="C64" s="90" t="n">
        <v>0.03570491301352637</v>
      </c>
      <c r="D64" s="90" t="n">
        <v>0.08459371967858574</v>
      </c>
      <c r="E64" s="90" t="n">
        <v>63</v>
      </c>
      <c r="F64" s="91" t="n">
        <v>0.5339906285266355</v>
      </c>
      <c r="G64" s="91" t="n"/>
      <c r="H64" s="91" t="n"/>
      <c r="I64" s="91" t="n"/>
      <c r="J64" s="90" t="n"/>
      <c r="K64" s="90" t="n"/>
      <c r="L64" s="90" t="n"/>
      <c r="M64" s="90" t="n"/>
      <c r="N64" s="84" t="n"/>
      <c r="O64" s="84" t="n"/>
      <c r="P64" s="84" t="n"/>
      <c r="Q64" s="84" t="n"/>
      <c r="R64" s="84" t="n"/>
      <c r="S64" s="84" t="n"/>
      <c r="T64" s="84" t="n"/>
      <c r="U64" s="84" t="n"/>
    </row>
    <row r="65">
      <c r="A65" s="90" t="inlineStr">
        <is>
          <t>Western Connecticut Planning Region</t>
        </is>
      </c>
      <c r="B65" s="90" t="n">
        <v>637013</v>
      </c>
      <c r="C65" s="90" t="n">
        <v>0.00737399840326329</v>
      </c>
      <c r="D65" s="90" t="n">
        <v>0.08547054573672451</v>
      </c>
      <c r="E65" s="90" t="n">
        <v>64</v>
      </c>
      <c r="F65" s="91" t="n">
        <v>0.533920452958295</v>
      </c>
      <c r="G65" s="91" t="n"/>
      <c r="H65" s="91" t="n"/>
      <c r="I65" s="91" t="n"/>
      <c r="J65" s="90" t="n"/>
      <c r="K65" s="90" t="n"/>
      <c r="L65" s="90" t="n"/>
      <c r="M65" s="90" t="n"/>
      <c r="N65" s="84" t="n"/>
      <c r="O65" s="84" t="n"/>
      <c r="P65" s="84" t="n"/>
      <c r="Q65" s="84" t="n"/>
      <c r="R65" s="84" t="n"/>
      <c r="S65" s="84" t="n"/>
      <c r="T65" s="84" t="n"/>
      <c r="U65" s="84" t="n"/>
    </row>
    <row r="66">
      <c r="A66" s="92" t="inlineStr">
        <is>
          <t>Naugatuck Valley Planning Region</t>
        </is>
      </c>
      <c r="B66" s="92" t="n">
        <v>462220</v>
      </c>
      <c r="C66" s="92" t="n">
        <v>0.007329280377682021</v>
      </c>
      <c r="D66" s="92" t="n">
        <v>0.08222035962867365</v>
      </c>
      <c r="E66" s="92" t="n">
        <v>65</v>
      </c>
      <c r="F66" s="92" t="n">
        <v>0.5338787551347269</v>
      </c>
      <c r="H66" s="92" t="n"/>
      <c r="I66" s="92" t="n"/>
      <c r="J66" s="92" t="n"/>
      <c r="K66" s="92" t="n"/>
      <c r="L66" s="92" t="n"/>
      <c r="M66" s="92" t="n"/>
      <c r="N66" s="84" t="n"/>
      <c r="O66" s="84" t="n"/>
      <c r="P66" s="84" t="n"/>
      <c r="Q66" s="84" t="n"/>
      <c r="R66" s="84" t="n"/>
      <c r="S66" s="84" t="n"/>
      <c r="T66" s="84" t="n"/>
      <c r="U66" s="84" t="n"/>
    </row>
    <row r="67">
      <c r="A67" s="95" t="inlineStr">
        <is>
          <t>Cumberland County, Pennsylvania</t>
        </is>
      </c>
      <c r="B67" s="97" t="n">
        <v>275516</v>
      </c>
      <c r="C67" s="95" t="n">
        <v>0.0146606776456846</v>
      </c>
      <c r="D67" s="97" t="n">
        <v>0.04608304576906745</v>
      </c>
      <c r="E67" s="105" t="n">
        <v>66</v>
      </c>
      <c r="F67" s="97" t="n">
        <v>0.5333815708608306</v>
      </c>
      <c r="G67" s="94" t="n"/>
      <c r="H67" s="95" t="n"/>
      <c r="I67" s="97" t="n"/>
      <c r="J67" s="95" t="n"/>
      <c r="K67" s="97" t="n"/>
      <c r="L67" s="105" t="n"/>
      <c r="M67" s="97" t="n"/>
      <c r="N67" s="84" t="n"/>
      <c r="O67" s="84" t="n"/>
      <c r="P67" s="84" t="n"/>
      <c r="Q67" s="84" t="n"/>
      <c r="R67" s="84" t="n"/>
      <c r="S67" s="84" t="n"/>
      <c r="T67" s="84" t="n"/>
      <c r="U67" s="84" t="n"/>
    </row>
    <row r="68">
      <c r="A68" s="93" t="inlineStr">
        <is>
          <t>Forsyth County, North Carolina</t>
        </is>
      </c>
      <c r="B68" s="93" t="n">
        <v>398143</v>
      </c>
      <c r="C68" s="93" t="n">
        <v>0.01013305142773512</v>
      </c>
      <c r="D68" s="93" t="n">
        <v>0.03143289170198913</v>
      </c>
      <c r="E68" s="93" t="n">
        <v>67</v>
      </c>
      <c r="F68" s="93" t="n">
        <v>0.5326748898154761</v>
      </c>
      <c r="G68" s="94" t="n"/>
      <c r="H68" s="93" t="n"/>
      <c r="I68" s="93" t="n"/>
      <c r="J68" s="93" t="n"/>
      <c r="K68" s="93" t="n"/>
      <c r="L68" s="93" t="n"/>
      <c r="M68" s="93" t="n"/>
      <c r="N68" s="84" t="n"/>
      <c r="O68" s="84" t="n"/>
      <c r="P68" s="84" t="n"/>
      <c r="Q68" s="84" t="n"/>
      <c r="R68" s="84" t="n"/>
      <c r="S68" s="84" t="n"/>
      <c r="T68" s="84" t="n"/>
      <c r="U68" s="84" t="n"/>
    </row>
    <row r="69">
      <c r="A69" s="102" t="inlineStr">
        <is>
          <t>Bergen County, New Jersey</t>
        </is>
      </c>
      <c r="B69" s="100" t="n">
        <v>978641</v>
      </c>
      <c r="C69" s="102" t="n">
        <v>0.006534998547778101</v>
      </c>
      <c r="D69" s="100" t="n">
        <v>0.1340891641511355</v>
      </c>
      <c r="E69" s="102" t="n">
        <v>68</v>
      </c>
      <c r="F69" s="100" t="n">
        <v>0.5325044079480319</v>
      </c>
      <c r="G69" s="101" t="n"/>
      <c r="H69" s="102" t="n"/>
      <c r="I69" s="100" t="n"/>
      <c r="J69" s="102" t="n"/>
      <c r="K69" s="100" t="n"/>
      <c r="L69" s="102" t="n"/>
      <c r="M69" s="100" t="n"/>
      <c r="N69" s="84" t="n"/>
      <c r="O69" s="84" t="n"/>
      <c r="P69" s="84" t="n"/>
      <c r="Q69" s="84" t="n"/>
      <c r="R69" s="84" t="n"/>
      <c r="S69" s="84" t="n"/>
      <c r="T69" s="84" t="n"/>
      <c r="U69" s="84" t="n"/>
    </row>
    <row r="70">
      <c r="A70" s="102" t="inlineStr">
        <is>
          <t>Ingham County, Michigan</t>
        </is>
      </c>
      <c r="B70" s="100" t="n">
        <v>290427</v>
      </c>
      <c r="C70" s="102" t="n">
        <v>0.004754269193388233</v>
      </c>
      <c r="D70" s="100" t="n">
        <v>0.02581936300858541</v>
      </c>
      <c r="E70" s="102" t="n">
        <v>69</v>
      </c>
      <c r="F70" s="100" t="n">
        <v>0.532089012373181</v>
      </c>
      <c r="G70" s="101" t="n"/>
      <c r="H70" s="102" t="n"/>
      <c r="I70" s="100" t="n"/>
      <c r="J70" s="102" t="n"/>
      <c r="K70" s="100" t="n"/>
      <c r="L70" s="102" t="n"/>
      <c r="M70" s="100" t="n"/>
      <c r="N70" s="84" t="n"/>
      <c r="O70" s="84" t="n"/>
      <c r="P70" s="84" t="n"/>
      <c r="Q70" s="84" t="n"/>
      <c r="R70" s="84" t="n"/>
      <c r="S70" s="84" t="n"/>
      <c r="T70" s="84" t="n"/>
      <c r="U70" s="84" t="n"/>
    </row>
    <row r="71">
      <c r="A71" s="102" t="inlineStr">
        <is>
          <t>Waukesha County, Wisconsin</t>
        </is>
      </c>
      <c r="B71" s="100" t="n">
        <v>417029</v>
      </c>
      <c r="C71" s="102" t="n">
        <v>0.005834711595561423</v>
      </c>
      <c r="D71" s="100" t="n">
        <v>0.0066120282351863</v>
      </c>
      <c r="E71" s="102" t="n">
        <v>70</v>
      </c>
      <c r="F71" s="100" t="n">
        <v>0.5317721717352945</v>
      </c>
      <c r="G71" s="101" t="n"/>
      <c r="H71" s="102" t="n"/>
      <c r="I71" s="100" t="n"/>
      <c r="J71" s="102" t="n"/>
      <c r="K71" s="100" t="n"/>
      <c r="L71" s="102" t="n"/>
      <c r="M71" s="100" t="n"/>
      <c r="N71" s="84" t="n"/>
      <c r="O71" s="84" t="n"/>
      <c r="P71" s="84" t="n"/>
      <c r="Q71" s="84" t="n"/>
      <c r="R71" s="84" t="n"/>
      <c r="S71" s="84" t="n"/>
      <c r="T71" s="84" t="n"/>
      <c r="U71" s="84" t="n"/>
    </row>
    <row r="72">
      <c r="A72" s="106" t="inlineStr">
        <is>
          <t>Buncombe County, North Carolina</t>
        </is>
      </c>
      <c r="B72" s="106" t="n">
        <v>279210</v>
      </c>
      <c r="C72" s="106" t="n">
        <v>0.008811511879690327</v>
      </c>
      <c r="D72" s="106" t="n">
        <v>0.05608111230798218</v>
      </c>
      <c r="E72" s="106" t="n">
        <v>71</v>
      </c>
      <c r="F72" s="106" t="n">
        <v>0.5315555192884793</v>
      </c>
      <c r="G72" s="101" t="n"/>
      <c r="H72" s="106" t="n"/>
      <c r="I72" s="106" t="n"/>
      <c r="J72" s="106" t="n"/>
      <c r="K72" s="106" t="n"/>
      <c r="L72" s="106" t="n"/>
      <c r="M72" s="106" t="n"/>
      <c r="N72" s="84" t="n"/>
      <c r="O72" s="84" t="n"/>
      <c r="P72" s="84" t="n"/>
      <c r="Q72" s="84" t="n"/>
      <c r="R72" s="84" t="n"/>
      <c r="S72" s="84" t="n"/>
      <c r="T72" s="84" t="n"/>
      <c r="U72" s="84" t="n"/>
    </row>
    <row r="73" ht="15" customHeight="1" s="54" thickBot="1">
      <c r="A73" s="95" t="inlineStr">
        <is>
          <t>Thurston County, Washington</t>
        </is>
      </c>
      <c r="B73" s="97" t="n">
        <v>302912</v>
      </c>
      <c r="C73" s="95" t="n">
        <v>0.005822281077502044</v>
      </c>
      <c r="D73" s="97" t="n">
        <v>0.1021898035250195</v>
      </c>
      <c r="E73" s="105" t="n">
        <v>72</v>
      </c>
      <c r="F73" s="97" t="n">
        <v>0.5307197058534024</v>
      </c>
      <c r="G73" s="94" t="n"/>
      <c r="H73" s="95" t="n"/>
      <c r="I73" s="97" t="n"/>
      <c r="J73" s="95" t="n"/>
      <c r="K73" s="97" t="n"/>
      <c r="L73" s="105" t="n"/>
      <c r="M73" s="97" t="n"/>
      <c r="N73" s="84" t="n"/>
      <c r="O73" s="84" t="n"/>
      <c r="P73" s="84" t="n"/>
      <c r="Q73" s="84" t="n"/>
      <c r="R73" s="84" t="n"/>
      <c r="S73" s="84" t="n"/>
      <c r="T73" s="84" t="n"/>
      <c r="U73" s="84" t="n"/>
    </row>
    <row r="74" ht="15" customHeight="1" s="54" thickTop="1">
      <c r="A74" s="108" t="inlineStr">
        <is>
          <t>Harford County, Maryland</t>
        </is>
      </c>
      <c r="B74" s="108" t="n">
        <v>265514</v>
      </c>
      <c r="C74" s="108" t="n">
        <v>0.004085245650634462</v>
      </c>
      <c r="D74" s="108" t="n">
        <v>0.2188221860516247</v>
      </c>
      <c r="E74" s="108" t="n">
        <v>73</v>
      </c>
      <c r="F74" s="108" t="n">
        <v>0.5307065237527068</v>
      </c>
      <c r="G74" s="109" t="n"/>
      <c r="H74" s="108" t="n"/>
      <c r="I74" s="108" t="n"/>
      <c r="J74" s="108" t="n"/>
      <c r="K74" s="108" t="n"/>
      <c r="L74" s="108" t="n"/>
      <c r="M74" s="108" t="n"/>
      <c r="N74" s="84" t="n"/>
      <c r="O74" s="84" t="n"/>
      <c r="P74" s="84" t="n"/>
      <c r="Q74" s="84" t="n"/>
      <c r="R74" s="84" t="n"/>
      <c r="S74" s="84" t="n"/>
      <c r="T74" s="84" t="n"/>
      <c r="U74" s="84" t="n"/>
    </row>
    <row r="75">
      <c r="A75" s="107" t="inlineStr">
        <is>
          <t>Richland County, South Carolina</t>
        </is>
      </c>
      <c r="B75" s="107" t="n">
        <v>430651</v>
      </c>
      <c r="C75" s="107" t="n">
        <v>0.008993329275890853</v>
      </c>
      <c r="D75" s="107" t="n">
        <v>0.04435464191240349</v>
      </c>
      <c r="E75" s="107" t="n">
        <v>74</v>
      </c>
      <c r="F75" s="90" t="n">
        <v>0.5305992829869195</v>
      </c>
      <c r="G75" s="90" t="n"/>
      <c r="H75" s="90" t="n"/>
      <c r="I75" s="90" t="n"/>
      <c r="J75" s="90" t="n"/>
      <c r="K75" s="90" t="n"/>
      <c r="L75" s="90" t="n"/>
      <c r="M75" s="90" t="n"/>
      <c r="N75" s="84" t="n"/>
      <c r="O75" s="84" t="n"/>
      <c r="P75" s="84" t="n"/>
      <c r="Q75" s="84" t="n"/>
      <c r="R75" s="84" t="n"/>
      <c r="S75" s="84" t="n"/>
      <c r="T75" s="84" t="n"/>
      <c r="U75" s="84" t="n"/>
    </row>
    <row r="76">
      <c r="A76" s="90" t="inlineStr">
        <is>
          <t>Erie County, Pennsylvania</t>
        </is>
      </c>
      <c r="B76" s="90" t="n">
        <v>267750</v>
      </c>
      <c r="C76" s="90" t="n">
        <v>-0.002760038265635908</v>
      </c>
      <c r="D76" s="90" t="n">
        <v>0.03415001101213432</v>
      </c>
      <c r="E76" s="90" t="n">
        <v>75</v>
      </c>
      <c r="F76" s="91" t="n">
        <v>0.530485098029397</v>
      </c>
      <c r="G76" s="91" t="n"/>
      <c r="H76" s="91" t="n"/>
      <c r="I76" s="91" t="n"/>
      <c r="J76" s="90" t="n"/>
      <c r="K76" s="90" t="n"/>
      <c r="L76" s="90" t="n"/>
      <c r="M76" s="90" t="n"/>
      <c r="N76" s="84" t="n"/>
      <c r="O76" s="84" t="n"/>
      <c r="P76" s="84" t="n"/>
      <c r="Q76" s="84" t="n"/>
      <c r="R76" s="84" t="n"/>
      <c r="S76" s="84" t="n"/>
      <c r="T76" s="84" t="n"/>
      <c r="U76" s="84" t="n"/>
    </row>
    <row r="77">
      <c r="A77" s="90" t="inlineStr">
        <is>
          <t>Hillsborough County, Florida</t>
        </is>
      </c>
      <c r="B77" s="90" t="n">
        <v>1581426</v>
      </c>
      <c r="C77" s="90" t="n">
        <v>0.01962497954061869</v>
      </c>
      <c r="D77" s="90" t="n">
        <v>0.1164333008025496</v>
      </c>
      <c r="E77" s="90" t="n">
        <v>76</v>
      </c>
      <c r="F77" s="91" t="n">
        <v>0.529480705375464</v>
      </c>
      <c r="G77" s="91" t="n"/>
      <c r="H77" s="91" t="n"/>
      <c r="I77" s="91" t="n"/>
      <c r="J77" s="90" t="n"/>
      <c r="K77" s="90" t="n"/>
      <c r="L77" s="90" t="n"/>
      <c r="M77" s="90" t="n"/>
      <c r="N77" s="84" t="n"/>
      <c r="O77" s="84" t="n"/>
      <c r="P77" s="84" t="n"/>
      <c r="Q77" s="84" t="n"/>
      <c r="R77" s="84" t="n"/>
      <c r="S77" s="84" t="n"/>
      <c r="T77" s="84" t="n"/>
      <c r="U77" s="84" t="n"/>
    </row>
    <row r="78">
      <c r="A78" s="90" t="inlineStr">
        <is>
          <t>Leon County, Florida</t>
        </is>
      </c>
      <c r="B78" s="90" t="n">
        <v>300488</v>
      </c>
      <c r="C78" s="90" t="n">
        <v>0.005550906412755434</v>
      </c>
      <c r="D78" s="90" t="n">
        <v>0.1158664545751857</v>
      </c>
      <c r="E78" s="90" t="n">
        <v>77</v>
      </c>
      <c r="F78" s="91" t="n">
        <v>0.5294234841971197</v>
      </c>
      <c r="G78" s="91" t="n"/>
      <c r="H78" s="91" t="n"/>
      <c r="I78" s="91" t="n"/>
      <c r="J78" s="90" t="n"/>
      <c r="K78" s="90" t="n"/>
      <c r="L78" s="90" t="n"/>
      <c r="M78" s="90" t="n"/>
      <c r="N78" s="84" t="n"/>
      <c r="O78" s="84" t="n"/>
      <c r="P78" s="84" t="n"/>
      <c r="Q78" s="84" t="n"/>
      <c r="R78" s="84" t="n"/>
      <c r="S78" s="84" t="n"/>
      <c r="T78" s="84" t="n"/>
      <c r="U78" s="84" t="n"/>
    </row>
    <row r="79">
      <c r="A79" s="92" t="inlineStr">
        <is>
          <t>Oakland County, Michigan</t>
        </is>
      </c>
      <c r="B79" s="92" t="n">
        <v>1296888</v>
      </c>
      <c r="C79" s="92" t="n">
        <v>0.004786149752539437</v>
      </c>
      <c r="D79" s="92" t="n">
        <v>0.08646189397973536</v>
      </c>
      <c r="E79" s="92" t="n">
        <v>78</v>
      </c>
      <c r="F79" s="92" t="n">
        <v>0.5292920562883988</v>
      </c>
      <c r="H79" s="92" t="n"/>
      <c r="I79" s="92" t="n"/>
      <c r="J79" s="92" t="n"/>
      <c r="K79" s="92" t="n"/>
      <c r="L79" s="92" t="n"/>
      <c r="M79" s="92" t="n"/>
      <c r="N79" s="84" t="n"/>
      <c r="O79" s="84" t="n"/>
      <c r="P79" s="84" t="n"/>
      <c r="Q79" s="84" t="n"/>
      <c r="R79" s="84" t="n"/>
      <c r="S79" s="84" t="n"/>
      <c r="T79" s="84" t="n"/>
      <c r="U79" s="84" t="n"/>
    </row>
    <row r="80">
      <c r="A80" s="93" t="inlineStr">
        <is>
          <t>Lancaster County, Nebraska</t>
        </is>
      </c>
      <c r="B80" s="93" t="n">
        <v>332857</v>
      </c>
      <c r="C80" s="93" t="n">
        <v>0.007492937175674797</v>
      </c>
      <c r="D80" s="93" t="n">
        <v>0.05548428082884028</v>
      </c>
      <c r="E80" s="93" t="n">
        <v>79</v>
      </c>
      <c r="F80" s="93" t="n">
        <v>0.5292644928312737</v>
      </c>
      <c r="G80" s="94" t="n"/>
      <c r="H80" s="93" t="n"/>
      <c r="I80" s="93" t="n"/>
      <c r="J80" s="93" t="n"/>
      <c r="K80" s="93" t="n"/>
      <c r="L80" s="93" t="n"/>
      <c r="M80" s="93" t="n"/>
      <c r="N80" s="84" t="n"/>
      <c r="O80" s="84" t="n"/>
      <c r="P80" s="84" t="n"/>
      <c r="Q80" s="84" t="n"/>
      <c r="R80" s="84" t="n"/>
      <c r="S80" s="84" t="n"/>
      <c r="T80" s="84" t="n"/>
      <c r="U80" s="84" t="n"/>
    </row>
    <row r="81">
      <c r="A81" s="93" t="inlineStr">
        <is>
          <t>Delaware County, Pennsylvania</t>
        </is>
      </c>
      <c r="B81" s="93" t="n">
        <v>584882</v>
      </c>
      <c r="C81" s="93" t="n">
        <v>0.003624746974535274</v>
      </c>
      <c r="D81" s="93" t="n">
        <v>0.2422766481877675</v>
      </c>
      <c r="E81" s="93" t="n">
        <v>80</v>
      </c>
      <c r="F81" s="93" t="n">
        <v>0.529130615850265</v>
      </c>
      <c r="G81" s="94" t="n"/>
      <c r="H81" s="93" t="n"/>
      <c r="I81" s="93" t="n"/>
      <c r="J81" s="93" t="n"/>
      <c r="K81" s="93" t="n"/>
      <c r="L81" s="93" t="n"/>
      <c r="M81" s="93" t="n"/>
      <c r="N81" s="84" t="n"/>
      <c r="O81" s="84" t="n"/>
      <c r="P81" s="84" t="n"/>
      <c r="Q81" s="84" t="n"/>
      <c r="R81" s="84" t="n"/>
      <c r="S81" s="84" t="n"/>
      <c r="T81" s="84" t="n"/>
      <c r="U81" s="84" t="n"/>
    </row>
    <row r="82">
      <c r="A82" s="93" t="inlineStr">
        <is>
          <t>Cook County, Illinois</t>
        </is>
      </c>
      <c r="B82" s="93" t="n">
        <v>5182617</v>
      </c>
      <c r="C82" s="93" t="n">
        <v>-0.00400863136102943</v>
      </c>
      <c r="D82" s="93" t="n">
        <v>0.02155789483275519</v>
      </c>
      <c r="E82" s="93" t="n">
        <v>81</v>
      </c>
      <c r="F82" s="93" t="n">
        <v>0.5289363718339802</v>
      </c>
      <c r="G82" s="94" t="n"/>
      <c r="H82" s="93" t="n"/>
      <c r="I82" s="93" t="n"/>
      <c r="J82" s="93" t="n"/>
      <c r="K82" s="93" t="n"/>
      <c r="L82" s="93" t="n"/>
      <c r="M82" s="93" t="n"/>
      <c r="N82" s="84" t="n"/>
      <c r="O82" s="84" t="n"/>
      <c r="P82" s="84" t="n"/>
      <c r="Q82" s="84" t="n"/>
      <c r="R82" s="84" t="n"/>
      <c r="S82" s="84" t="n"/>
      <c r="T82" s="84" t="n"/>
      <c r="U82" s="84" t="n"/>
    </row>
    <row r="83">
      <c r="A83" s="99" t="inlineStr">
        <is>
          <t>Onslow County, North Carolina</t>
        </is>
      </c>
      <c r="B83" s="100" t="n">
        <v>212954</v>
      </c>
      <c r="C83" s="99" t="n">
        <v>0.009559458049543905</v>
      </c>
      <c r="D83" s="100" t="n">
        <v>0.1204975199947398</v>
      </c>
      <c r="E83" s="99" t="n">
        <v>82</v>
      </c>
      <c r="F83" s="100" t="n">
        <v>0.5287659430438172</v>
      </c>
      <c r="G83" s="101" t="n"/>
      <c r="H83" s="99" t="n"/>
      <c r="I83" s="100" t="n"/>
      <c r="J83" s="99" t="n"/>
      <c r="K83" s="100" t="n"/>
      <c r="L83" s="99" t="n"/>
      <c r="M83" s="100" t="n"/>
      <c r="N83" s="84" t="n"/>
      <c r="O83" s="84" t="n"/>
      <c r="P83" s="84" t="n"/>
      <c r="Q83" s="84" t="n"/>
      <c r="R83" s="84" t="n"/>
      <c r="S83" s="84" t="n"/>
      <c r="T83" s="84" t="n"/>
      <c r="U83" s="84" t="n"/>
    </row>
    <row r="84">
      <c r="A84" s="99" t="inlineStr">
        <is>
          <t>Weld County, Colorado</t>
        </is>
      </c>
      <c r="B84" s="100" t="n">
        <v>369745</v>
      </c>
      <c r="C84" s="99" t="n">
        <v>0.02887014393589709</v>
      </c>
      <c r="D84" s="100" t="n">
        <v>0.04302038563352506</v>
      </c>
      <c r="E84" s="99" t="n">
        <v>83</v>
      </c>
      <c r="F84" s="100" t="n">
        <v>0.5280874350603202</v>
      </c>
      <c r="G84" s="101" t="n"/>
      <c r="H84" s="99" t="n"/>
      <c r="I84" s="100" t="n"/>
      <c r="J84" s="99" t="n"/>
      <c r="K84" s="100" t="n"/>
      <c r="L84" s="99" t="n"/>
      <c r="M84" s="100" t="n"/>
      <c r="N84" s="84" t="n"/>
      <c r="O84" s="84" t="n"/>
      <c r="P84" s="84" t="n"/>
      <c r="Q84" s="84" t="n"/>
      <c r="R84" s="84" t="n"/>
      <c r="S84" s="84" t="n"/>
      <c r="T84" s="84" t="n"/>
      <c r="U84" s="84" t="n"/>
    </row>
    <row r="85">
      <c r="A85" s="99" t="inlineStr">
        <is>
          <t>Dauphin County, Pennsylvania</t>
        </is>
      </c>
      <c r="B85" s="100" t="n">
        <v>293029</v>
      </c>
      <c r="C85" s="99" t="n">
        <v>0.00550368481813077</v>
      </c>
      <c r="D85" s="100" t="n">
        <v>0.01174533072040314</v>
      </c>
      <c r="E85" s="102" t="n">
        <v>84</v>
      </c>
      <c r="F85" s="100" t="n">
        <v>0.5275064740853376</v>
      </c>
      <c r="G85" s="101" t="n"/>
      <c r="H85" s="99" t="n"/>
      <c r="I85" s="100" t="n"/>
      <c r="J85" s="99" t="n"/>
      <c r="K85" s="100" t="n"/>
      <c r="L85" s="102" t="n"/>
      <c r="M85" s="100" t="n"/>
      <c r="N85" s="84" t="n"/>
      <c r="O85" s="84" t="n"/>
      <c r="P85" s="84" t="n"/>
      <c r="Q85" s="84" t="n"/>
      <c r="R85" s="84" t="n"/>
      <c r="S85" s="84" t="n"/>
      <c r="T85" s="84" t="n"/>
      <c r="U85" s="84" t="n"/>
    </row>
    <row r="86">
      <c r="A86" s="99" t="inlineStr">
        <is>
          <t>Baltimore County, Maryland</t>
        </is>
      </c>
      <c r="B86" s="100" t="n">
        <v>852425</v>
      </c>
      <c r="C86" s="99" t="n">
        <v>-0.0002674790059741861</v>
      </c>
      <c r="D86" s="100" t="n">
        <v>0.02812398876244963</v>
      </c>
      <c r="E86" s="102" t="n">
        <v>85</v>
      </c>
      <c r="F86" s="100" t="n">
        <v>0.5272539630257022</v>
      </c>
      <c r="G86" s="101" t="n"/>
      <c r="H86" s="99" t="n"/>
      <c r="I86" s="100" t="n"/>
      <c r="J86" s="99" t="n"/>
      <c r="K86" s="100" t="n"/>
      <c r="L86" s="102" t="n"/>
      <c r="M86" s="100" t="n"/>
      <c r="N86" s="84" t="n"/>
      <c r="O86" s="84" t="n"/>
      <c r="P86" s="84" t="n"/>
      <c r="Q86" s="84" t="n"/>
      <c r="R86" s="84" t="n"/>
      <c r="S86" s="84" t="n"/>
      <c r="T86" s="84" t="n"/>
      <c r="U86" s="84" t="n"/>
    </row>
    <row r="87">
      <c r="A87" s="99" t="inlineStr">
        <is>
          <t>Dakota County, Minnesota</t>
        </is>
      </c>
      <c r="B87" s="100" t="n">
        <v>453156</v>
      </c>
      <c r="C87" s="99" t="n">
        <v>0.007220118246464867</v>
      </c>
      <c r="D87" s="100" t="n">
        <v>0</v>
      </c>
      <c r="E87" s="99" t="n">
        <v>86</v>
      </c>
      <c r="F87" s="100" t="n">
        <v>0.5269450012305351</v>
      </c>
      <c r="G87" s="101" t="n"/>
      <c r="H87" s="99" t="n"/>
      <c r="I87" s="100" t="n"/>
      <c r="J87" s="99" t="n"/>
      <c r="K87" s="100" t="n"/>
      <c r="L87" s="99" t="n"/>
      <c r="M87" s="100" t="n"/>
      <c r="N87" s="84" t="n"/>
      <c r="O87" s="84" t="n"/>
      <c r="P87" s="84" t="n"/>
      <c r="Q87" s="84" t="n"/>
      <c r="R87" s="84" t="n"/>
      <c r="S87" s="84" t="n"/>
      <c r="T87" s="84" t="n"/>
      <c r="U87" s="84" t="n"/>
    </row>
    <row r="88">
      <c r="A88" s="95" t="inlineStr">
        <is>
          <t>Spartanburg County, South Carolina</t>
        </is>
      </c>
      <c r="B88" s="97" t="n">
        <v>369256</v>
      </c>
      <c r="C88" s="95" t="n">
        <v>0.03024468359618099</v>
      </c>
      <c r="D88" s="97" t="n">
        <v>0.05255051495668247</v>
      </c>
      <c r="E88" s="95" t="n">
        <v>87</v>
      </c>
      <c r="F88" s="97" t="n">
        <v>0.526486814249945</v>
      </c>
      <c r="G88" s="94" t="n"/>
      <c r="H88" s="95" t="n"/>
      <c r="I88" s="97" t="n"/>
      <c r="J88" s="95" t="n"/>
      <c r="K88" s="97" t="n"/>
      <c r="L88" s="95" t="n"/>
      <c r="M88" s="97" t="n"/>
      <c r="N88" s="84" t="n"/>
      <c r="O88" s="84" t="n"/>
      <c r="P88" s="84" t="n"/>
      <c r="Q88" s="84" t="n"/>
      <c r="R88" s="84" t="n"/>
      <c r="S88" s="84" t="n"/>
      <c r="T88" s="84" t="n"/>
      <c r="U88" s="84" t="n"/>
    </row>
    <row r="89">
      <c r="A89" s="102" t="inlineStr">
        <is>
          <t>Anderson County, South Carolina</t>
        </is>
      </c>
      <c r="B89" s="100" t="n">
        <v>217183</v>
      </c>
      <c r="C89" s="102" t="n">
        <v>0.0159053733740793</v>
      </c>
      <c r="D89" s="100" t="n">
        <v>0.01374721841750149</v>
      </c>
      <c r="E89" s="99" t="n">
        <v>88</v>
      </c>
      <c r="F89" s="100" t="n">
        <v>0.5254433806533532</v>
      </c>
      <c r="G89" s="101" t="n"/>
      <c r="H89" s="102" t="n"/>
      <c r="I89" s="100" t="n"/>
      <c r="J89" s="102" t="n"/>
      <c r="K89" s="100" t="n"/>
      <c r="L89" s="99" t="n"/>
      <c r="M89" s="100" t="n"/>
      <c r="N89" s="86" t="n"/>
      <c r="O89" s="86" t="n"/>
      <c r="P89" s="86" t="n"/>
      <c r="Q89" s="86" t="n"/>
      <c r="R89" s="86" t="n"/>
      <c r="S89" s="86" t="n"/>
      <c r="T89" s="86" t="n"/>
      <c r="U89" s="86" t="n"/>
    </row>
    <row r="90">
      <c r="A90" s="99" t="inlineStr">
        <is>
          <t>Boulder County, Colorado</t>
        </is>
      </c>
      <c r="B90" s="100" t="n">
        <v>330262</v>
      </c>
      <c r="C90" s="99" t="n">
        <v>-0.0005219774409055062</v>
      </c>
      <c r="D90" s="100" t="n">
        <v>0.128503039686827</v>
      </c>
      <c r="E90" s="102" t="n">
        <v>89</v>
      </c>
      <c r="F90" s="100" t="n">
        <v>0.5248722558736429</v>
      </c>
      <c r="G90" s="101" t="n"/>
      <c r="H90" s="99" t="n"/>
      <c r="I90" s="100" t="n"/>
      <c r="J90" s="99" t="n"/>
      <c r="K90" s="100" t="n"/>
      <c r="L90" s="102" t="n"/>
      <c r="M90" s="100" t="n"/>
      <c r="N90" s="86" t="n"/>
      <c r="O90" s="86" t="n"/>
      <c r="P90" s="86" t="n"/>
      <c r="Q90" s="86" t="n"/>
      <c r="R90" s="86" t="n"/>
      <c r="S90" s="86" t="n"/>
      <c r="T90" s="86" t="n"/>
      <c r="U90" s="86" t="n"/>
    </row>
    <row r="91">
      <c r="A91" s="99" t="inlineStr">
        <is>
          <t>Ottawa County, Michigan</t>
        </is>
      </c>
      <c r="B91" s="100" t="n">
        <v>306235</v>
      </c>
      <c r="C91" s="99" t="n">
        <v>0.007861259216097056</v>
      </c>
      <c r="D91" s="100" t="n">
        <v>0.09472483135708483</v>
      </c>
      <c r="E91" s="102" t="n">
        <v>90</v>
      </c>
      <c r="F91" s="100" t="n">
        <v>0.5246643267117429</v>
      </c>
      <c r="G91" s="101" t="n"/>
      <c r="H91" s="99" t="n"/>
      <c r="I91" s="100" t="n"/>
      <c r="J91" s="99" t="n"/>
      <c r="K91" s="100" t="n"/>
      <c r="L91" s="102" t="n"/>
      <c r="M91" s="100" t="n"/>
      <c r="N91" s="84" t="n"/>
      <c r="O91" s="84" t="n"/>
      <c r="P91" s="84" t="n"/>
      <c r="Q91" s="84" t="n"/>
      <c r="R91" s="84" t="n"/>
      <c r="S91" s="84" t="n"/>
      <c r="T91" s="84" t="n"/>
      <c r="U91" s="84" t="n"/>
    </row>
    <row r="92">
      <c r="A92" s="110" t="inlineStr">
        <is>
          <t>Monmouth County, New Jersey</t>
        </is>
      </c>
      <c r="B92" s="100" t="n">
        <v>647520</v>
      </c>
      <c r="C92" s="110" t="n">
        <v>0.001844338169632439</v>
      </c>
      <c r="D92" s="100" t="n">
        <v>0.124141183231929</v>
      </c>
      <c r="E92" s="110" t="n">
        <v>91</v>
      </c>
      <c r="F92" s="100" t="n">
        <v>0.5243120321180907</v>
      </c>
      <c r="G92" s="101" t="n"/>
      <c r="H92" s="110" t="n"/>
      <c r="I92" s="100" t="n"/>
      <c r="J92" s="110" t="n"/>
      <c r="K92" s="100" t="n"/>
      <c r="L92" s="110" t="n"/>
      <c r="M92" s="100" t="n"/>
      <c r="N92" s="86" t="n"/>
      <c r="O92" s="86" t="n"/>
      <c r="P92" s="86" t="n"/>
      <c r="Q92" s="86" t="n"/>
      <c r="R92" s="86" t="n"/>
      <c r="S92" s="86" t="n"/>
      <c r="T92" s="86" t="n"/>
      <c r="U92" s="86" t="n"/>
    </row>
    <row r="93">
      <c r="A93" s="95" t="inlineStr">
        <is>
          <t>Lancaster County, Pennsylvania</t>
        </is>
      </c>
      <c r="B93" s="97" t="n">
        <v>563293</v>
      </c>
      <c r="C93" s="95" t="n">
        <v>0.004729719952101354</v>
      </c>
      <c r="D93" s="97" t="n">
        <v>0.1015123516995516</v>
      </c>
      <c r="E93" s="95" t="n">
        <v>92</v>
      </c>
      <c r="F93" s="97" t="n">
        <v>0.5242024243828886</v>
      </c>
      <c r="G93" s="94" t="n"/>
      <c r="H93" s="95" t="n"/>
      <c r="I93" s="97" t="n"/>
      <c r="J93" s="95" t="n"/>
      <c r="K93" s="97" t="n"/>
      <c r="L93" s="95" t="n"/>
      <c r="M93" s="97" t="n"/>
      <c r="N93" s="86" t="n"/>
      <c r="O93" s="86" t="n"/>
      <c r="P93" s="86" t="n"/>
      <c r="Q93" s="86" t="n"/>
      <c r="R93" s="86" t="n"/>
      <c r="S93" s="86" t="n"/>
      <c r="T93" s="86" t="n"/>
      <c r="U93" s="86" t="n"/>
    </row>
    <row r="94">
      <c r="A94" s="96" t="inlineStr">
        <is>
          <t>Utah County, Utah</t>
        </is>
      </c>
      <c r="B94" s="97" t="n">
        <v>747234</v>
      </c>
      <c r="C94" s="96" t="n">
        <v>0.0315051400981908</v>
      </c>
      <c r="D94" s="97" t="n">
        <v>0.1093287929172654</v>
      </c>
      <c r="E94" s="96" t="n">
        <v>93</v>
      </c>
      <c r="F94" s="97" t="n">
        <v>0.5240100023171342</v>
      </c>
      <c r="G94" s="94" t="n"/>
      <c r="H94" s="96" t="n"/>
      <c r="I94" s="97" t="n"/>
      <c r="J94" s="96" t="n"/>
      <c r="K94" s="97" t="n"/>
      <c r="L94" s="96" t="n"/>
      <c r="M94" s="97" t="n"/>
    </row>
    <row r="95">
      <c r="A95" s="99" t="inlineStr">
        <is>
          <t>Essex County, Massachusetts</t>
        </is>
      </c>
      <c r="B95" s="100" t="n">
        <v>823938</v>
      </c>
      <c r="C95" s="99" t="n">
        <v>0.00500042709595794</v>
      </c>
      <c r="D95" s="100" t="n">
        <v>0.03906145014498264</v>
      </c>
      <c r="E95" s="102" t="n">
        <v>94</v>
      </c>
      <c r="F95" s="100" t="n">
        <v>0.5234217058927867</v>
      </c>
      <c r="G95" s="101" t="n"/>
      <c r="H95" s="99" t="n"/>
      <c r="I95" s="100" t="n"/>
      <c r="J95" s="99" t="n"/>
      <c r="K95" s="100" t="n"/>
      <c r="L95" s="102" t="n"/>
      <c r="M95" s="100" t="n"/>
    </row>
    <row r="96">
      <c r="A96" s="95" t="inlineStr">
        <is>
          <t>Linn County, Iowa</t>
        </is>
      </c>
      <c r="B96" s="97" t="n">
        <v>231762</v>
      </c>
      <c r="C96" s="95" t="n">
        <v>0.001441850776581479</v>
      </c>
      <c r="D96" s="97" t="n">
        <v>0</v>
      </c>
      <c r="E96" s="96" t="n">
        <v>95</v>
      </c>
      <c r="F96" s="97" t="n">
        <v>0.5232187097749847</v>
      </c>
      <c r="G96" s="94" t="n"/>
      <c r="H96" s="95" t="n"/>
      <c r="I96" s="97" t="n"/>
      <c r="J96" s="95" t="n"/>
      <c r="K96" s="97" t="n"/>
      <c r="L96" s="96" t="n"/>
      <c r="M96" s="97" t="n"/>
      <c r="N96" s="84" t="n"/>
      <c r="O96" s="84" t="n"/>
      <c r="P96" s="84" t="n"/>
      <c r="Q96" s="84" t="n"/>
      <c r="R96" s="84" t="n"/>
      <c r="S96" s="84" t="n"/>
      <c r="T96" s="84" t="n"/>
      <c r="U96" s="84" t="n"/>
    </row>
    <row r="97">
      <c r="A97" s="111" t="inlineStr">
        <is>
          <t>Anne Arundel County, Maryland</t>
        </is>
      </c>
      <c r="B97" s="111" t="n">
        <v>602350</v>
      </c>
      <c r="C97" s="111" t="n">
        <v>0.003765511988298181</v>
      </c>
      <c r="D97" s="111" t="n">
        <v>0.1208378198311246</v>
      </c>
      <c r="E97" s="111" t="n">
        <v>96</v>
      </c>
      <c r="F97" s="111" t="n">
        <v>0.5222246781574318</v>
      </c>
      <c r="G97" s="112" t="n"/>
      <c r="H97" s="111" t="n"/>
      <c r="I97" s="111" t="n"/>
      <c r="J97" s="111" t="n"/>
      <c r="K97" s="111" t="n"/>
      <c r="L97" s="111" t="n"/>
      <c r="M97" s="111" t="n"/>
      <c r="N97" s="86" t="n"/>
      <c r="O97" s="86" t="n"/>
      <c r="P97" s="86" t="n"/>
      <c r="Q97" s="86" t="n"/>
      <c r="R97" s="86" t="n"/>
      <c r="S97" s="86" t="n"/>
      <c r="T97" s="86" t="n"/>
      <c r="U97" s="86" t="n"/>
    </row>
    <row r="98">
      <c r="A98" s="95" t="inlineStr">
        <is>
          <t>Benton County, Washington</t>
        </is>
      </c>
      <c r="B98" s="97" t="n">
        <v>218190</v>
      </c>
      <c r="C98" s="95" t="n">
        <v>0.01297330132191721</v>
      </c>
      <c r="D98" s="97" t="n">
        <v>0.01906822202659977</v>
      </c>
      <c r="E98" s="95" t="n">
        <v>97</v>
      </c>
      <c r="F98" s="97" t="n">
        <v>0.5210726892631943</v>
      </c>
      <c r="G98" s="94" t="n"/>
      <c r="H98" s="95" t="n"/>
      <c r="I98" s="97" t="n"/>
      <c r="J98" s="95" t="n"/>
      <c r="K98" s="97" t="n"/>
      <c r="L98" s="95" t="n"/>
      <c r="M98" s="97" t="n"/>
      <c r="N98" s="86" t="n"/>
      <c r="O98" s="86" t="n"/>
      <c r="P98" s="86" t="n"/>
      <c r="Q98" s="86" t="n"/>
      <c r="R98" s="86" t="n"/>
      <c r="S98" s="86" t="n"/>
      <c r="T98" s="86" t="n"/>
      <c r="U98" s="86" t="n"/>
    </row>
    <row r="99">
      <c r="A99" s="93" t="inlineStr">
        <is>
          <t>Chesterfield County, Virginia</t>
        </is>
      </c>
      <c r="B99" s="93" t="n">
        <v>389793</v>
      </c>
      <c r="C99" s="93" t="n">
        <v>0.01672574243875736</v>
      </c>
      <c r="D99" s="93" t="n">
        <v>0.02983722725489192</v>
      </c>
      <c r="E99" s="93" t="n">
        <v>98</v>
      </c>
      <c r="F99" s="93" t="n">
        <v>0.5209347059679446</v>
      </c>
      <c r="G99" s="94" t="n"/>
      <c r="H99" s="93" t="n"/>
      <c r="I99" s="93" t="n"/>
      <c r="J99" s="93" t="n"/>
      <c r="K99" s="93" t="n"/>
      <c r="L99" s="93" t="n"/>
      <c r="M99" s="93" t="n"/>
      <c r="N99" s="87" t="n"/>
      <c r="O99" s="87" t="n"/>
      <c r="P99" s="87" t="n"/>
      <c r="Q99" s="87" t="n"/>
      <c r="R99" s="87" t="n"/>
      <c r="S99" s="87" t="n"/>
      <c r="T99" s="87" t="n"/>
      <c r="U99" s="87" t="n"/>
    </row>
    <row r="100">
      <c r="A100" s="93" t="inlineStr">
        <is>
          <t>Jackson County, Missouri</t>
        </is>
      </c>
      <c r="B100" s="93" t="n">
        <v>727362</v>
      </c>
      <c r="C100" s="93" t="n">
        <v>0.003379028010400439</v>
      </c>
      <c r="D100" s="93" t="n">
        <v>0.00341243653786868</v>
      </c>
      <c r="E100" s="93" t="n">
        <v>99</v>
      </c>
      <c r="F100" s="93" t="n">
        <v>0.5198172729392968</v>
      </c>
      <c r="G100" s="94" t="n"/>
      <c r="H100" s="93" t="n"/>
      <c r="I100" s="93" t="n"/>
      <c r="J100" s="93" t="n"/>
      <c r="K100" s="93" t="n"/>
      <c r="L100" s="93" t="n"/>
      <c r="M100" s="93" t="n"/>
      <c r="N100" s="88" t="n"/>
      <c r="O100" s="88" t="n"/>
      <c r="P100" s="88" t="n"/>
      <c r="Q100" s="88" t="n"/>
      <c r="R100" s="88" t="n"/>
      <c r="S100" s="88" t="n"/>
      <c r="T100" s="88" t="n"/>
      <c r="U100" s="88" t="n"/>
    </row>
    <row r="101">
      <c r="A101" s="93" t="inlineStr">
        <is>
          <t>Baltimore</t>
        </is>
      </c>
      <c r="B101" s="93" t="n">
        <v>568271</v>
      </c>
      <c r="C101" s="93" t="n">
        <v>-0.006395010879834839</v>
      </c>
      <c r="D101" s="93" t="n">
        <v>0</v>
      </c>
      <c r="E101" s="93" t="n">
        <v>100</v>
      </c>
      <c r="F101" s="93" t="n">
        <v>0.5197300705477368</v>
      </c>
      <c r="G101" s="94" t="n"/>
      <c r="H101" s="93" t="n"/>
      <c r="I101" s="93" t="n"/>
      <c r="J101" s="93" t="n"/>
      <c r="K101" s="93" t="n"/>
      <c r="L101" s="93" t="n"/>
      <c r="M101" s="93" t="n"/>
      <c r="N101" s="88" t="n"/>
      <c r="O101" s="88" t="n"/>
      <c r="P101" s="88" t="n"/>
      <c r="Q101" s="88" t="n"/>
      <c r="R101" s="88" t="n"/>
      <c r="S101" s="88" t="n"/>
      <c r="T101" s="88" t="n"/>
      <c r="U101" s="88" t="n"/>
    </row>
    <row r="102">
      <c r="A102" s="99" t="inlineStr">
        <is>
          <t>Macomb County, Michigan</t>
        </is>
      </c>
      <c r="B102" s="100" t="n">
        <v>886175</v>
      </c>
      <c r="C102" s="99" t="n">
        <v>0.001670180644193872</v>
      </c>
      <c r="D102" s="100" t="n">
        <v>0.06217016420866711</v>
      </c>
      <c r="E102" s="99" t="n">
        <v>101</v>
      </c>
      <c r="F102" s="100" t="n">
        <v>0.5196817570820571</v>
      </c>
      <c r="G102" s="101" t="n"/>
      <c r="H102" s="99" t="n"/>
      <c r="I102" s="100" t="n"/>
      <c r="J102" s="99" t="n"/>
      <c r="K102" s="100" t="n"/>
      <c r="L102" s="99" t="n"/>
      <c r="M102" s="100" t="n"/>
    </row>
    <row r="103">
      <c r="A103" s="99" t="inlineStr">
        <is>
          <t>Lane County, Oregon</t>
        </is>
      </c>
      <c r="B103" s="100" t="n">
        <v>382396</v>
      </c>
      <c r="C103" s="99" t="n">
        <v>-0.001187467629307091</v>
      </c>
      <c r="D103" s="100" t="n">
        <v>0.03196747617378787</v>
      </c>
      <c r="E103" s="99" t="n">
        <v>102</v>
      </c>
      <c r="F103" s="100" t="n">
        <v>0.5194393235401067</v>
      </c>
      <c r="G103" s="101" t="n"/>
      <c r="H103" s="99" t="n"/>
      <c r="I103" s="100" t="n"/>
      <c r="J103" s="99" t="n"/>
      <c r="K103" s="100" t="n"/>
      <c r="L103" s="99" t="n"/>
      <c r="M103" s="100" t="n"/>
    </row>
    <row r="104">
      <c r="A104" s="99" t="inlineStr">
        <is>
          <t>Rockland County, New York</t>
        </is>
      </c>
      <c r="B104" s="100" t="n">
        <v>348144</v>
      </c>
      <c r="C104" s="99" t="n">
        <v>0.007977698605125408</v>
      </c>
      <c r="D104" s="100" t="n">
        <v>0.2377558742972466</v>
      </c>
      <c r="E104" s="99" t="n">
        <v>103</v>
      </c>
      <c r="F104" s="100" t="n">
        <v>0.5191869635961861</v>
      </c>
      <c r="G104" s="101" t="n"/>
      <c r="H104" s="99" t="n"/>
      <c r="I104" s="100" t="n"/>
      <c r="J104" s="99" t="n"/>
      <c r="K104" s="100" t="n"/>
      <c r="L104" s="99" t="n"/>
      <c r="M104" s="100" t="n"/>
      <c r="N104" s="89" t="n"/>
      <c r="O104" s="89" t="n"/>
      <c r="P104" s="89" t="n"/>
      <c r="Q104" s="89" t="n"/>
      <c r="R104" s="89" t="n"/>
      <c r="S104" s="89" t="n"/>
      <c r="T104" s="89" t="n"/>
      <c r="U104" s="89" t="n"/>
    </row>
    <row r="105">
      <c r="A105" s="106" t="inlineStr">
        <is>
          <t>Rockingham County, New Hampshire</t>
        </is>
      </c>
      <c r="B105" s="106" t="n">
        <v>322433</v>
      </c>
      <c r="C105" s="106" t="n">
        <v>0.006172456969974322</v>
      </c>
      <c r="D105" s="106" t="n">
        <v>0.06731734348038729</v>
      </c>
      <c r="E105" s="106" t="n">
        <v>104</v>
      </c>
      <c r="F105" s="106" t="n">
        <v>0.5190681780229587</v>
      </c>
      <c r="G105" s="101" t="n"/>
      <c r="H105" s="106" t="n"/>
      <c r="I105" s="106" t="n"/>
      <c r="J105" s="106" t="n"/>
      <c r="K105" s="106" t="n"/>
      <c r="L105" s="106" t="n"/>
      <c r="M105" s="106" t="n"/>
      <c r="N105" s="89" t="n"/>
      <c r="O105" s="89" t="n"/>
      <c r="P105" s="89" t="n"/>
      <c r="Q105" s="89" t="n"/>
      <c r="R105" s="89" t="n"/>
      <c r="S105" s="89" t="n"/>
      <c r="T105" s="89" t="n"/>
      <c r="U105" s="89" t="n"/>
    </row>
    <row r="106">
      <c r="A106" s="93" t="inlineStr">
        <is>
          <t>Orange County, Florida</t>
        </is>
      </c>
      <c r="B106" s="93" t="n">
        <v>1533646</v>
      </c>
      <c r="C106" s="93" t="n">
        <v>0.01779782359679267</v>
      </c>
      <c r="D106" s="93" t="n">
        <v>0.08807874445441997</v>
      </c>
      <c r="E106" s="93" t="n">
        <v>105</v>
      </c>
      <c r="F106" s="93" t="n">
        <v>0.5187170666516691</v>
      </c>
      <c r="G106" s="94" t="n"/>
      <c r="H106" s="93" t="n"/>
      <c r="I106" s="93" t="n"/>
      <c r="J106" s="93" t="n"/>
      <c r="K106" s="93" t="n"/>
      <c r="L106" s="93" t="n"/>
      <c r="M106" s="93" t="n"/>
      <c r="N106" s="89" t="n"/>
      <c r="O106" s="89" t="n"/>
      <c r="P106" s="89" t="n"/>
      <c r="Q106" s="89" t="n"/>
      <c r="R106" s="89" t="n"/>
      <c r="S106" s="89" t="n"/>
      <c r="T106" s="89" t="n"/>
      <c r="U106" s="89" t="n"/>
    </row>
    <row r="107">
      <c r="A107" s="99" t="inlineStr">
        <is>
          <t>Mecklenburg County, North Carolina</t>
        </is>
      </c>
      <c r="B107" s="100" t="n">
        <v>1206285</v>
      </c>
      <c r="C107" s="99" t="n">
        <v>0.02016146732445669</v>
      </c>
      <c r="D107" s="100" t="n">
        <v>0.09902122749773581</v>
      </c>
      <c r="E107" s="99" t="n">
        <v>106</v>
      </c>
      <c r="F107" s="100" t="n">
        <v>0.5183221084016663</v>
      </c>
      <c r="G107" s="101" t="n"/>
      <c r="H107" s="99" t="n"/>
      <c r="I107" s="100" t="n"/>
      <c r="J107" s="99" t="n"/>
      <c r="K107" s="100" t="n"/>
      <c r="L107" s="99" t="n"/>
      <c r="M107" s="100" t="n"/>
      <c r="N107" s="84" t="n"/>
      <c r="O107" s="84" t="n"/>
      <c r="P107" s="84" t="n"/>
      <c r="Q107" s="84" t="n"/>
      <c r="R107" s="84" t="n"/>
      <c r="S107" s="84" t="n"/>
      <c r="T107" s="84" t="n"/>
      <c r="U107" s="84" t="n"/>
    </row>
    <row r="108">
      <c r="A108" s="99" t="inlineStr">
        <is>
          <t>Pima County, Arizona</t>
        </is>
      </c>
      <c r="B108" s="100" t="n">
        <v>1080149</v>
      </c>
      <c r="C108" s="99" t="n">
        <v>0.008352731033545823</v>
      </c>
      <c r="D108" s="100" t="n">
        <v>0.1395720554047599</v>
      </c>
      <c r="E108" s="99" t="n">
        <v>107</v>
      </c>
      <c r="F108" s="100" t="n">
        <v>0.5182419398815057</v>
      </c>
      <c r="G108" s="101" t="n"/>
      <c r="H108" s="99" t="n"/>
      <c r="I108" s="100" t="n"/>
      <c r="J108" s="99" t="n"/>
      <c r="K108" s="100" t="n"/>
      <c r="L108" s="99" t="n"/>
      <c r="M108" s="100" t="n"/>
      <c r="N108" s="84" t="n"/>
      <c r="O108" s="84" t="n"/>
      <c r="P108" s="84" t="n"/>
      <c r="Q108" s="84" t="n"/>
      <c r="R108" s="84" t="n"/>
      <c r="S108" s="84" t="n"/>
      <c r="T108" s="84" t="n"/>
      <c r="U108" s="84" t="n"/>
    </row>
    <row r="109">
      <c r="A109" s="99" t="inlineStr">
        <is>
          <t>Multnomah County, Oregon</t>
        </is>
      </c>
      <c r="B109" s="100" t="n">
        <v>795897</v>
      </c>
      <c r="C109" s="99" t="n">
        <v>-0.006254892376895854</v>
      </c>
      <c r="D109" s="100" t="n">
        <v>0.06953343782293729</v>
      </c>
      <c r="E109" s="99" t="n">
        <v>108</v>
      </c>
      <c r="F109" s="100" t="n">
        <v>0.5175610172480636</v>
      </c>
      <c r="G109" s="101" t="n"/>
      <c r="H109" s="99" t="n"/>
      <c r="I109" s="100" t="n"/>
      <c r="J109" s="99" t="n"/>
      <c r="K109" s="100" t="n"/>
      <c r="L109" s="99" t="n"/>
      <c r="M109" s="100" t="n"/>
      <c r="N109" s="86" t="n"/>
      <c r="O109" s="86" t="n"/>
      <c r="P109" s="86" t="n"/>
      <c r="Q109" s="86" t="n"/>
      <c r="R109" s="86" t="n"/>
      <c r="S109" s="86" t="n"/>
      <c r="T109" s="86" t="n"/>
      <c r="U109" s="86" t="n"/>
    </row>
    <row r="110">
      <c r="A110" s="99" t="inlineStr">
        <is>
          <t>New Castle County, Delaware</t>
        </is>
      </c>
      <c r="B110" s="100" t="n">
        <v>588093</v>
      </c>
      <c r="C110" s="99" t="n">
        <v>0.007503192009205597</v>
      </c>
      <c r="D110" s="100" t="n">
        <v>0.1555538922664997</v>
      </c>
      <c r="E110" s="99" t="n">
        <v>109</v>
      </c>
      <c r="F110" s="100" t="n">
        <v>0.5172518329761002</v>
      </c>
      <c r="G110" s="101" t="n"/>
      <c r="H110" s="99" t="n"/>
      <c r="I110" s="100" t="n"/>
      <c r="J110" s="99" t="n"/>
      <c r="K110" s="100" t="n"/>
      <c r="L110" s="99" t="n"/>
      <c r="M110" s="100" t="n"/>
      <c r="N110" s="84" t="n"/>
      <c r="O110" s="84" t="n"/>
      <c r="P110" s="84" t="n"/>
      <c r="Q110" s="84" t="n"/>
      <c r="R110" s="84" t="n"/>
      <c r="S110" s="84" t="n"/>
      <c r="T110" s="84" t="n"/>
      <c r="U110" s="84" t="n"/>
    </row>
    <row r="111">
      <c r="A111" s="99" t="inlineStr">
        <is>
          <t>Hamilton County, Ohio</t>
        </is>
      </c>
      <c r="B111" s="100" t="n">
        <v>837359</v>
      </c>
      <c r="C111" s="99" t="n">
        <v>0.002089610292647799</v>
      </c>
      <c r="D111" s="100" t="n">
        <v>0.01374035663466928</v>
      </c>
      <c r="E111" s="99" t="n">
        <v>110</v>
      </c>
      <c r="F111" s="100" t="n">
        <v>0.5158414390553481</v>
      </c>
      <c r="G111" s="101" t="n"/>
      <c r="H111" s="99" t="n"/>
      <c r="I111" s="100" t="n"/>
      <c r="J111" s="99" t="n"/>
      <c r="K111" s="100" t="n"/>
      <c r="L111" s="99" t="n"/>
      <c r="M111" s="100" t="n"/>
      <c r="N111" s="86" t="n"/>
      <c r="O111" s="86" t="n"/>
      <c r="P111" s="86" t="n"/>
      <c r="Q111" s="86" t="n"/>
      <c r="R111" s="86" t="n"/>
      <c r="S111" s="86" t="n"/>
      <c r="T111" s="86" t="n"/>
      <c r="U111" s="86" t="n"/>
    </row>
    <row r="112">
      <c r="A112" s="99" t="inlineStr">
        <is>
          <t>Kent County, Michigan</t>
        </is>
      </c>
      <c r="B112" s="100" t="n">
        <v>673002</v>
      </c>
      <c r="C112" s="99" t="n">
        <v>0.005496382819760556</v>
      </c>
      <c r="D112" s="100" t="n">
        <v>0.06446059594457665</v>
      </c>
      <c r="E112" s="99" t="n">
        <v>111</v>
      </c>
      <c r="F112" s="100" t="n">
        <v>0.5154009617183317</v>
      </c>
      <c r="G112" s="101" t="n"/>
      <c r="H112" s="99" t="n"/>
      <c r="I112" s="100" t="n"/>
      <c r="J112" s="99" t="n"/>
      <c r="K112" s="100" t="n"/>
      <c r="L112" s="99" t="n"/>
      <c r="M112" s="100" t="n"/>
      <c r="N112" s="86" t="n"/>
      <c r="O112" s="86" t="n"/>
      <c r="P112" s="86" t="n"/>
      <c r="Q112" s="86" t="n"/>
      <c r="R112" s="86" t="n"/>
      <c r="S112" s="86" t="n"/>
      <c r="T112" s="86" t="n"/>
      <c r="U112" s="86" t="n"/>
    </row>
    <row r="113">
      <c r="A113" s="102" t="inlineStr">
        <is>
          <t>Durham County, North Carolina</t>
        </is>
      </c>
      <c r="B113" s="100" t="n">
        <v>343628</v>
      </c>
      <c r="C113" s="102" t="n">
        <v>0.01637416474163191</v>
      </c>
      <c r="D113" s="100" t="n">
        <v>0.02435762938507663</v>
      </c>
      <c r="E113" s="102" t="n">
        <v>112</v>
      </c>
      <c r="F113" s="100" t="n">
        <v>0.5143660707801039</v>
      </c>
      <c r="G113" s="101" t="n"/>
      <c r="H113" s="102" t="n"/>
      <c r="I113" s="100" t="n"/>
      <c r="J113" s="102" t="n"/>
      <c r="K113" s="100" t="n"/>
      <c r="L113" s="102" t="n"/>
      <c r="M113" s="100" t="n"/>
    </row>
    <row r="114">
      <c r="A114" s="95" t="inlineStr">
        <is>
          <t>Pierce County, Washington</t>
        </is>
      </c>
      <c r="B114" s="97" t="n">
        <v>941170</v>
      </c>
      <c r="C114" s="95" t="n">
        <v>0.004740676984371871</v>
      </c>
      <c r="D114" s="97" t="n">
        <v>0.1044509541320152</v>
      </c>
      <c r="E114" s="95" t="n">
        <v>113</v>
      </c>
      <c r="F114" s="97" t="n">
        <v>0.5141382648683287</v>
      </c>
      <c r="G114" s="94" t="n"/>
      <c r="H114" s="95" t="n"/>
      <c r="I114" s="97" t="n"/>
      <c r="J114" s="95" t="n"/>
      <c r="K114" s="97" t="n"/>
      <c r="L114" s="95" t="n"/>
      <c r="M114" s="97" t="n"/>
    </row>
    <row r="115">
      <c r="A115" s="93" t="inlineStr">
        <is>
          <t>Somerset County, New Jersey</t>
        </is>
      </c>
      <c r="B115" s="93" t="n">
        <v>357467</v>
      </c>
      <c r="C115" s="93" t="n">
        <v>0.009193330394329268</v>
      </c>
      <c r="D115" s="93" t="n">
        <v>0.3210054897428489</v>
      </c>
      <c r="E115" s="93" t="n">
        <v>114</v>
      </c>
      <c r="F115" s="93" t="n">
        <v>0.5139895411603079</v>
      </c>
      <c r="G115" s="94" t="n"/>
      <c r="H115" s="93" t="n"/>
      <c r="I115" s="93" t="n"/>
      <c r="J115" s="93" t="n"/>
      <c r="K115" s="93" t="n"/>
      <c r="L115" s="93" t="n"/>
      <c r="M115" s="93" t="n"/>
    </row>
    <row r="116">
      <c r="A116" s="93" t="inlineStr">
        <is>
          <t>Allegheny County, Pennsylvania</t>
        </is>
      </c>
      <c r="B116" s="93" t="n">
        <v>1231814</v>
      </c>
      <c r="C116" s="93" t="n">
        <v>-0.003572340239951155</v>
      </c>
      <c r="D116" s="93" t="n">
        <v>0.03300043087643047</v>
      </c>
      <c r="E116" s="93" t="n">
        <v>115</v>
      </c>
      <c r="F116" s="93" t="n">
        <v>0.5136334012823185</v>
      </c>
      <c r="G116" s="94" t="n"/>
      <c r="H116" s="93" t="n"/>
      <c r="I116" s="93" t="n"/>
      <c r="J116" s="93" t="n"/>
      <c r="K116" s="93" t="n"/>
      <c r="L116" s="93" t="n"/>
      <c r="M116" s="93" t="n"/>
    </row>
    <row r="117">
      <c r="A117" s="99" t="inlineStr">
        <is>
          <t>Ellis County, Texas</t>
        </is>
      </c>
      <c r="B117" s="100" t="n">
        <v>232387</v>
      </c>
      <c r="C117" s="99" t="n">
        <v>0.04896232143592277</v>
      </c>
      <c r="D117" s="100" t="n">
        <v>0.1704715222799544</v>
      </c>
      <c r="E117" s="99" t="n">
        <v>116</v>
      </c>
      <c r="F117" s="100" t="n">
        <v>0.5124639548582758</v>
      </c>
      <c r="G117" s="101" t="n"/>
      <c r="H117" s="99" t="n"/>
      <c r="I117" s="100" t="n"/>
      <c r="J117" s="99" t="n"/>
      <c r="K117" s="100" t="n"/>
      <c r="L117" s="99" t="n"/>
      <c r="M117" s="100" t="n"/>
    </row>
    <row r="118">
      <c r="A118" s="95" t="inlineStr">
        <is>
          <t>Pinellas County, Florida</t>
        </is>
      </c>
      <c r="B118" s="97" t="n">
        <v>965870</v>
      </c>
      <c r="C118" s="95" t="n">
        <v>0.001570836359014376</v>
      </c>
      <c r="D118" s="97" t="n">
        <v>0.07809879140867725</v>
      </c>
      <c r="E118" s="95" t="n">
        <v>117</v>
      </c>
      <c r="F118" s="97" t="n">
        <v>0.5120696067667728</v>
      </c>
      <c r="G118" s="94" t="n"/>
      <c r="H118" s="95" t="n"/>
      <c r="I118" s="97" t="n"/>
      <c r="J118" s="95" t="n"/>
      <c r="K118" s="97" t="n"/>
      <c r="L118" s="95" t="n"/>
      <c r="M118" s="97" t="n"/>
    </row>
    <row r="119">
      <c r="A119" s="93" t="inlineStr">
        <is>
          <t>Morris County, New Jersey</t>
        </is>
      </c>
      <c r="B119" s="93" t="n">
        <v>523053</v>
      </c>
      <c r="C119" s="93" t="n">
        <v>0.007169027989741815</v>
      </c>
      <c r="D119" s="93" t="n">
        <v>0.1212155757861994</v>
      </c>
      <c r="E119" s="93" t="n">
        <v>118</v>
      </c>
      <c r="F119" s="93" t="n">
        <v>0.5113929113328837</v>
      </c>
      <c r="G119" s="94" t="n"/>
      <c r="H119" s="93" t="n"/>
      <c r="I119" s="93" t="n"/>
      <c r="J119" s="93" t="n"/>
      <c r="K119" s="93" t="n"/>
      <c r="L119" s="93" t="n"/>
      <c r="M119" s="93" t="n"/>
    </row>
    <row r="120">
      <c r="A120" s="95" t="inlineStr">
        <is>
          <t>Deschutes County, Oregon</t>
        </is>
      </c>
      <c r="B120" s="97" t="n">
        <v>211535</v>
      </c>
      <c r="C120" s="95" t="n">
        <v>0.01512132150198025</v>
      </c>
      <c r="D120" s="97" t="n">
        <v>0.1071102719471819</v>
      </c>
      <c r="E120" s="95" t="n">
        <v>119</v>
      </c>
      <c r="F120" s="97" t="n">
        <v>0.5112889922084022</v>
      </c>
      <c r="G120" s="94" t="n"/>
      <c r="H120" s="95" t="n"/>
      <c r="I120" s="97" t="n"/>
      <c r="J120" s="95" t="n"/>
      <c r="K120" s="97" t="n"/>
      <c r="L120" s="95" t="n"/>
      <c r="M120" s="97" t="n"/>
    </row>
    <row r="121">
      <c r="A121" s="93" t="inlineStr">
        <is>
          <t>Yuma County, Arizona</t>
        </is>
      </c>
      <c r="B121" s="93" t="n">
        <v>220310</v>
      </c>
      <c r="C121" s="93" t="n">
        <v>0.01780200812000097</v>
      </c>
      <c r="D121" s="93" t="n">
        <v>0.009048091224590977</v>
      </c>
      <c r="E121" s="93" t="n">
        <v>120</v>
      </c>
      <c r="F121" s="93" t="n">
        <v>0.510775383077546</v>
      </c>
      <c r="G121" s="94" t="n"/>
      <c r="H121" s="93" t="n"/>
      <c r="I121" s="93" t="n"/>
      <c r="J121" s="93" t="n"/>
      <c r="K121" s="93" t="n"/>
      <c r="L121" s="93" t="n"/>
      <c r="M121" s="93" t="n"/>
    </row>
    <row r="122">
      <c r="A122" s="93" t="inlineStr">
        <is>
          <t>South Central Connecticut Planning Region</t>
        </is>
      </c>
      <c r="B122" s="93" t="n">
        <v>576718</v>
      </c>
      <c r="C122" s="93" t="n">
        <v>0.00539921987649816</v>
      </c>
      <c r="D122" s="93" t="n">
        <v>0.171746694975615</v>
      </c>
      <c r="E122" s="93" t="n">
        <v>121</v>
      </c>
      <c r="F122" s="93" t="n">
        <v>0.5106506326664793</v>
      </c>
      <c r="G122" s="94" t="n"/>
      <c r="H122" s="93" t="n"/>
      <c r="I122" s="93" t="n"/>
      <c r="J122" s="93" t="n"/>
      <c r="K122" s="93" t="n"/>
      <c r="L122" s="93" t="n"/>
      <c r="M122" s="93" t="n"/>
    </row>
    <row r="123">
      <c r="A123" s="102" t="inlineStr">
        <is>
          <t>Washington County, Pennsylvania</t>
        </is>
      </c>
      <c r="B123" s="100" t="n">
        <v>210434</v>
      </c>
      <c r="C123" s="102" t="n">
        <v>0.001217683631466855</v>
      </c>
      <c r="D123" s="100" t="n">
        <v>0.02319937776592707</v>
      </c>
      <c r="E123" s="99" t="n">
        <v>122</v>
      </c>
      <c r="F123" s="100" t="n">
        <v>0.5103178242713114</v>
      </c>
      <c r="G123" s="101" t="n"/>
      <c r="H123" s="102" t="n"/>
      <c r="I123" s="100" t="n"/>
      <c r="J123" s="102" t="n"/>
      <c r="K123" s="100" t="n"/>
      <c r="L123" s="99" t="n"/>
      <c r="M123" s="100" t="n"/>
    </row>
    <row r="124">
      <c r="A124" s="99" t="inlineStr">
        <is>
          <t>Fulton County, Georgia</t>
        </is>
      </c>
      <c r="B124" s="100" t="n">
        <v>1090354</v>
      </c>
      <c r="C124" s="99" t="n">
        <v>0.004914512130458894</v>
      </c>
      <c r="D124" s="100" t="n">
        <v>0.06888638264813794</v>
      </c>
      <c r="E124" s="99" t="n">
        <v>123</v>
      </c>
      <c r="F124" s="100" t="n">
        <v>0.5097043963122365</v>
      </c>
      <c r="G124" s="101" t="n"/>
      <c r="H124" s="99" t="n"/>
      <c r="I124" s="100" t="n"/>
      <c r="J124" s="99" t="n"/>
      <c r="K124" s="100" t="n"/>
      <c r="L124" s="99" t="n"/>
      <c r="M124" s="100" t="n"/>
    </row>
    <row r="125">
      <c r="A125" s="99" t="inlineStr">
        <is>
          <t>Hennepin County, Minnesota</t>
        </is>
      </c>
      <c r="B125" s="100" t="n">
        <v>1273334</v>
      </c>
      <c r="C125" s="99" t="n">
        <v>-0.001636080210841352</v>
      </c>
      <c r="D125" s="100" t="n">
        <v>0.04415906858504823</v>
      </c>
      <c r="E125" s="102" t="n">
        <v>124</v>
      </c>
      <c r="F125" s="100" t="n">
        <v>0.509177450961852</v>
      </c>
      <c r="G125" s="101" t="n"/>
      <c r="H125" s="99" t="n"/>
      <c r="I125" s="100" t="n"/>
      <c r="J125" s="99" t="n"/>
      <c r="K125" s="100" t="n"/>
      <c r="L125" s="102" t="n"/>
      <c r="M125" s="100" t="n"/>
    </row>
    <row r="126">
      <c r="A126" s="102" t="inlineStr">
        <is>
          <t>Comal County, Texas</t>
        </is>
      </c>
      <c r="B126" s="100" t="n">
        <v>201628</v>
      </c>
      <c r="C126" s="102" t="n">
        <v>0.05804157983830063</v>
      </c>
      <c r="D126" s="100" t="n">
        <v>0.04680586663343072</v>
      </c>
      <c r="E126" s="110" t="n">
        <v>125</v>
      </c>
      <c r="F126" s="100" t="n">
        <v>0.5091690442855766</v>
      </c>
      <c r="G126" s="101" t="n"/>
      <c r="H126" s="102" t="n"/>
      <c r="I126" s="100" t="n"/>
      <c r="J126" s="102" t="n"/>
      <c r="K126" s="100" t="n"/>
      <c r="L126" s="110" t="n"/>
      <c r="M126" s="100" t="n"/>
    </row>
    <row r="127">
      <c r="A127" s="102" t="inlineStr">
        <is>
          <t>Lehigh County, Pennsylvania</t>
        </is>
      </c>
      <c r="B127" s="100" t="n">
        <v>385655</v>
      </c>
      <c r="C127" s="102" t="n">
        <v>0.007451407636457824</v>
      </c>
      <c r="D127" s="100" t="n">
        <v>0.2875908836228844</v>
      </c>
      <c r="E127" s="99" t="n">
        <v>126</v>
      </c>
      <c r="F127" s="100" t="n">
        <v>0.509010617383473</v>
      </c>
      <c r="G127" s="101" t="n"/>
      <c r="H127" s="102" t="n"/>
      <c r="I127" s="100" t="n"/>
      <c r="J127" s="102" t="n"/>
      <c r="K127" s="100" t="n"/>
      <c r="L127" s="99" t="n"/>
      <c r="M127" s="100" t="n"/>
    </row>
    <row r="128">
      <c r="A128" s="102" t="inlineStr">
        <is>
          <t>Kalamazoo County, Michigan</t>
        </is>
      </c>
      <c r="B128" s="100" t="n">
        <v>264780</v>
      </c>
      <c r="C128" s="102" t="n">
        <v>0.002832163291497017</v>
      </c>
      <c r="D128" s="100" t="n">
        <v>0.03483881271190033</v>
      </c>
      <c r="E128" s="102" t="n">
        <v>127</v>
      </c>
      <c r="F128" s="100" t="n">
        <v>0.5089503842993105</v>
      </c>
      <c r="G128" s="101" t="n"/>
      <c r="H128" s="102" t="n"/>
      <c r="I128" s="100" t="n"/>
      <c r="J128" s="102" t="n"/>
      <c r="K128" s="100" t="n"/>
      <c r="L128" s="102" t="n"/>
      <c r="M128" s="100" t="n"/>
    </row>
    <row r="129">
      <c r="A129" s="99" t="inlineStr">
        <is>
          <t>Worcester County, Massachusetts</t>
        </is>
      </c>
      <c r="B129" s="100" t="n">
        <v>881248</v>
      </c>
      <c r="C129" s="99" t="n">
        <v>0.007045918057804763</v>
      </c>
      <c r="D129" s="100" t="n">
        <v>0.08224314367580843</v>
      </c>
      <c r="E129" s="99" t="n">
        <v>128</v>
      </c>
      <c r="F129" s="100" t="n">
        <v>0.5088041513716205</v>
      </c>
      <c r="G129" s="101" t="n"/>
      <c r="H129" s="99" t="n"/>
      <c r="I129" s="100" t="n"/>
      <c r="J129" s="99" t="n"/>
      <c r="K129" s="100" t="n"/>
      <c r="L129" s="99" t="n"/>
      <c r="M129" s="100" t="n"/>
    </row>
    <row r="130">
      <c r="A130" s="99" t="inlineStr">
        <is>
          <t>Hidalgo County, Texas</t>
        </is>
      </c>
      <c r="B130" s="100" t="n">
        <v>914820</v>
      </c>
      <c r="C130" s="99" t="n">
        <v>0.01200835842234778</v>
      </c>
      <c r="D130" s="100" t="n">
        <v>0.1042096692985537</v>
      </c>
      <c r="E130" s="99" t="n">
        <v>129</v>
      </c>
      <c r="F130" s="100" t="n">
        <v>0.5076857210432727</v>
      </c>
      <c r="G130" s="101" t="n"/>
      <c r="H130" s="99" t="n"/>
      <c r="I130" s="100" t="n"/>
      <c r="J130" s="99" t="n"/>
      <c r="K130" s="100" t="n"/>
      <c r="L130" s="99" t="n"/>
      <c r="M130" s="100" t="n"/>
    </row>
    <row r="131">
      <c r="A131" s="102" t="inlineStr">
        <is>
          <t>Guilford County, North Carolina</t>
        </is>
      </c>
      <c r="B131" s="100" t="n">
        <v>558816</v>
      </c>
      <c r="C131" s="102" t="n">
        <v>0.009306074493142599</v>
      </c>
      <c r="D131" s="100" t="n">
        <v>0.04587861280358064</v>
      </c>
      <c r="E131" s="102" t="n">
        <v>130</v>
      </c>
      <c r="F131" s="100" t="n">
        <v>0.5076455459492643</v>
      </c>
      <c r="G131" s="101" t="n"/>
      <c r="H131" s="102" t="n"/>
      <c r="I131" s="100" t="n"/>
      <c r="J131" s="102" t="n"/>
      <c r="K131" s="100" t="n"/>
      <c r="L131" s="102" t="n"/>
      <c r="M131" s="100" t="n"/>
    </row>
    <row r="132">
      <c r="A132" s="102" t="inlineStr">
        <is>
          <t>Dallas County, Texas</t>
        </is>
      </c>
      <c r="B132" s="100" t="n">
        <v>2656028</v>
      </c>
      <c r="C132" s="102" t="n">
        <v>0.004336604052259493</v>
      </c>
      <c r="D132" s="100" t="n">
        <v>0.05221892054649124</v>
      </c>
      <c r="E132" s="102" t="n">
        <v>131</v>
      </c>
      <c r="F132" s="100" t="n">
        <v>0.5073420310863227</v>
      </c>
      <c r="G132" s="101" t="n"/>
      <c r="H132" s="102" t="n"/>
      <c r="I132" s="100" t="n"/>
      <c r="J132" s="102" t="n"/>
      <c r="K132" s="100" t="n"/>
      <c r="L132" s="102" t="n"/>
      <c r="M132" s="100" t="n"/>
    </row>
    <row r="133">
      <c r="A133" s="102" t="inlineStr">
        <is>
          <t>El Paso County, Texas</t>
        </is>
      </c>
      <c r="B133" s="100" t="n">
        <v>875784</v>
      </c>
      <c r="C133" s="102" t="n">
        <v>0.002624947501049979</v>
      </c>
      <c r="D133" s="100" t="n">
        <v>0.09738194995794455</v>
      </c>
      <c r="E133" s="99" t="n">
        <v>132</v>
      </c>
      <c r="F133" s="100" t="n">
        <v>0.5070880487637205</v>
      </c>
      <c r="G133" s="101" t="n"/>
      <c r="H133" s="102" t="n"/>
      <c r="I133" s="100" t="n"/>
      <c r="J133" s="102" t="n"/>
      <c r="K133" s="100" t="n"/>
      <c r="L133" s="99" t="n"/>
      <c r="M133" s="100" t="n"/>
    </row>
    <row r="134">
      <c r="A134" s="99" t="inlineStr">
        <is>
          <t>Mercer County, New Jersey</t>
        </is>
      </c>
      <c r="B134" s="100" t="n">
        <v>392138</v>
      </c>
      <c r="C134" s="99" t="n">
        <v>0.003652080767519121</v>
      </c>
      <c r="D134" s="100" t="n">
        <v>0.1175900079075484</v>
      </c>
      <c r="E134" s="102" t="n">
        <v>133</v>
      </c>
      <c r="F134" s="100" t="n">
        <v>0.5068254321795695</v>
      </c>
      <c r="G134" s="101" t="n"/>
      <c r="H134" s="99" t="n"/>
      <c r="I134" s="100" t="n"/>
      <c r="J134" s="99" t="n"/>
      <c r="K134" s="100" t="n"/>
      <c r="L134" s="102" t="n"/>
      <c r="M134" s="100" t="n"/>
    </row>
    <row r="135">
      <c r="A135" s="99" t="inlineStr">
        <is>
          <t>Seminole County, Florida</t>
        </is>
      </c>
      <c r="B135" s="100" t="n">
        <v>494605</v>
      </c>
      <c r="C135" s="99" t="n">
        <v>0.01226637000712662</v>
      </c>
      <c r="D135" s="100" t="n">
        <v>0.1830093414471147</v>
      </c>
      <c r="E135" s="102" t="n">
        <v>134</v>
      </c>
      <c r="F135" s="100" t="n">
        <v>0.506727019537435</v>
      </c>
      <c r="G135" s="101" t="n"/>
      <c r="H135" s="99" t="n"/>
      <c r="I135" s="100" t="n"/>
      <c r="J135" s="99" t="n"/>
      <c r="K135" s="100" t="n"/>
      <c r="L135" s="102" t="n"/>
      <c r="M135" s="100" t="n"/>
    </row>
    <row r="136">
      <c r="A136" s="102" t="inlineStr">
        <is>
          <t>Clay County, Missouri</t>
        </is>
      </c>
      <c r="B136" s="100" t="n">
        <v>263370</v>
      </c>
      <c r="C136" s="102" t="n">
        <v>0.009074544059493596</v>
      </c>
      <c r="D136" s="100" t="n">
        <v>0.06043285681921259</v>
      </c>
      <c r="E136" s="102" t="n">
        <v>135</v>
      </c>
      <c r="F136" s="100" t="n">
        <v>0.5062367927603938</v>
      </c>
      <c r="G136" s="101" t="n"/>
      <c r="H136" s="102" t="n"/>
      <c r="I136" s="100" t="n"/>
      <c r="J136" s="102" t="n"/>
      <c r="K136" s="100" t="n"/>
      <c r="L136" s="102" t="n"/>
      <c r="M136" s="100" t="n"/>
    </row>
    <row r="137">
      <c r="A137" s="107" t="inlineStr">
        <is>
          <t>Suffolk County, New York</t>
        </is>
      </c>
      <c r="B137" s="107" t="n">
        <v>1535909</v>
      </c>
      <c r="C137" s="107" t="n">
        <v>0.002255653916271125</v>
      </c>
      <c r="D137" s="107" t="n">
        <v>0.2038511588470092</v>
      </c>
      <c r="E137" s="107" t="n">
        <v>136</v>
      </c>
      <c r="F137" s="90" t="n">
        <v>0.5061846751228549</v>
      </c>
      <c r="G137" s="90" t="n"/>
      <c r="H137" s="90" t="n"/>
      <c r="I137" s="90" t="n"/>
      <c r="J137" s="90" t="n"/>
      <c r="K137" s="90" t="n"/>
      <c r="L137" s="90" t="n"/>
      <c r="M137" s="90" t="n"/>
    </row>
    <row r="138">
      <c r="A138" s="90" t="inlineStr">
        <is>
          <t>Niagara County, New York</t>
        </is>
      </c>
      <c r="B138" s="90" t="n">
        <v>209570</v>
      </c>
      <c r="C138" s="90" t="n">
        <v>-0.003020510717332994</v>
      </c>
      <c r="D138" s="90" t="n">
        <v>0.15270046944808</v>
      </c>
      <c r="E138" s="90" t="n">
        <v>137</v>
      </c>
      <c r="F138" s="91" t="n">
        <v>0.505668471800745</v>
      </c>
      <c r="G138" s="91" t="n"/>
      <c r="H138" s="91" t="n"/>
      <c r="I138" s="91" t="n"/>
      <c r="J138" s="90" t="n"/>
      <c r="K138" s="90" t="n"/>
      <c r="L138" s="90" t="n"/>
      <c r="M138" s="90" t="n"/>
    </row>
    <row r="139">
      <c r="A139" s="90" t="inlineStr">
        <is>
          <t>Berks County, Pennsylvania</t>
        </is>
      </c>
      <c r="B139" s="90" t="n">
        <v>439117</v>
      </c>
      <c r="C139" s="90" t="n">
        <v>0.006078942273375119</v>
      </c>
      <c r="D139" s="90" t="n">
        <v>0.086238933216745</v>
      </c>
      <c r="E139" s="90" t="n">
        <v>138</v>
      </c>
      <c r="F139" s="91" t="n">
        <v>0.505597652197363</v>
      </c>
      <c r="G139" s="91" t="n"/>
      <c r="H139" s="91" t="n"/>
      <c r="I139" s="91" t="n"/>
      <c r="J139" s="90" t="n"/>
      <c r="K139" s="90" t="n"/>
      <c r="L139" s="90" t="n"/>
      <c r="M139" s="90" t="n"/>
    </row>
    <row r="140">
      <c r="A140" s="90" t="inlineStr">
        <is>
          <t>Middlesex County, New Jersey</t>
        </is>
      </c>
      <c r="B140" s="90" t="n">
        <v>890119</v>
      </c>
      <c r="C140" s="90" t="n">
        <v>0.008316985118287558</v>
      </c>
      <c r="D140" s="90" t="n">
        <v>0.31165732456249</v>
      </c>
      <c r="E140" s="90" t="n">
        <v>139</v>
      </c>
      <c r="F140" s="91" t="n">
        <v>0.5051218152032084</v>
      </c>
      <c r="G140" s="91" t="n"/>
      <c r="H140" s="91" t="n"/>
      <c r="I140" s="91" t="n"/>
      <c r="J140" s="90" t="n"/>
      <c r="K140" s="90" t="n"/>
      <c r="L140" s="90" t="n"/>
      <c r="M140" s="90" t="n"/>
    </row>
    <row r="141">
      <c r="A141" s="92" t="inlineStr">
        <is>
          <t>Cuyahoga County, Ohio</t>
        </is>
      </c>
      <c r="B141" s="92" t="n">
        <v>1240594</v>
      </c>
      <c r="C141" s="92" t="n">
        <v>-0.00436408780051242</v>
      </c>
      <c r="D141" s="92" t="n">
        <v>0.01995073404507618</v>
      </c>
      <c r="E141" s="92" t="n">
        <v>140</v>
      </c>
      <c r="F141" s="92" t="n">
        <v>0.5046010307934091</v>
      </c>
      <c r="H141" s="92" t="n"/>
      <c r="I141" s="92" t="n"/>
      <c r="J141" s="92" t="n"/>
      <c r="K141" s="92" t="n"/>
      <c r="L141" s="92" t="n"/>
      <c r="M141" s="92" t="n"/>
    </row>
    <row r="142">
      <c r="A142" s="102" t="inlineStr">
        <is>
          <t>Richmond, Virginia</t>
        </is>
      </c>
      <c r="B142" s="100" t="n">
        <v>233655</v>
      </c>
      <c r="C142" s="102" t="n">
        <v>0.00741661268359752</v>
      </c>
      <c r="D142" s="100" t="n">
        <v>0.06857498554156977</v>
      </c>
      <c r="E142" s="102" t="n">
        <v>141</v>
      </c>
      <c r="F142" s="100" t="n">
        <v>0.5044926467297477</v>
      </c>
      <c r="G142" s="101" t="n"/>
      <c r="H142" s="102" t="n"/>
      <c r="I142" s="100" t="n"/>
      <c r="J142" s="102" t="n"/>
      <c r="K142" s="100" t="n"/>
      <c r="L142" s="102" t="n"/>
      <c r="M142" s="100" t="n"/>
    </row>
    <row r="143">
      <c r="A143" s="103" t="inlineStr">
        <is>
          <t>Yakima County, Washington</t>
        </is>
      </c>
      <c r="B143" s="103" t="n">
        <v>258523</v>
      </c>
      <c r="C143" s="103" t="n">
        <v>0.001740114358718684</v>
      </c>
      <c r="D143" s="103" t="n">
        <v>0.009823161324959842</v>
      </c>
      <c r="E143" s="103" t="n">
        <v>142</v>
      </c>
      <c r="F143" s="103" t="n">
        <v>0.5038075666507067</v>
      </c>
      <c r="G143" s="104" t="n"/>
      <c r="H143" s="103" t="n"/>
      <c r="I143" s="103" t="n"/>
      <c r="J143" s="103" t="n"/>
      <c r="K143" s="103" t="n"/>
      <c r="L143" s="103" t="n"/>
      <c r="M143" s="103" t="n"/>
    </row>
    <row r="144">
      <c r="A144" s="95" t="inlineStr">
        <is>
          <t>St. Louis County, Missouri</t>
        </is>
      </c>
      <c r="B144" s="97" t="n">
        <v>992929</v>
      </c>
      <c r="C144" s="95" t="n">
        <v>-0.002602962398941175</v>
      </c>
      <c r="D144" s="97" t="n">
        <v>0.02530387020624388</v>
      </c>
      <c r="E144" s="95" t="n">
        <v>143</v>
      </c>
      <c r="F144" s="97" t="n">
        <v>0.5035261527819944</v>
      </c>
      <c r="G144" s="94" t="n"/>
      <c r="H144" s="95" t="n"/>
      <c r="I144" s="97" t="n"/>
      <c r="J144" s="95" t="n"/>
      <c r="K144" s="97" t="n"/>
      <c r="L144" s="95" t="n"/>
      <c r="M144" s="97" t="n"/>
    </row>
    <row r="145">
      <c r="A145" s="93" t="inlineStr">
        <is>
          <t>Shelby County, Alabama</t>
        </is>
      </c>
      <c r="B145" s="93" t="n">
        <v>235969</v>
      </c>
      <c r="C145" s="93" t="n">
        <v>0.01345823191836188</v>
      </c>
      <c r="D145" s="93" t="n">
        <v>0.03804787237656523</v>
      </c>
      <c r="E145" s="93" t="n">
        <v>144</v>
      </c>
      <c r="F145" s="93" t="n">
        <v>0.5033196097020052</v>
      </c>
      <c r="G145" s="94" t="n"/>
      <c r="H145" s="93" t="n"/>
      <c r="I145" s="93" t="n"/>
      <c r="J145" s="93" t="n"/>
      <c r="K145" s="93" t="n"/>
      <c r="L145" s="93" t="n"/>
      <c r="M145" s="93" t="n"/>
    </row>
    <row r="146">
      <c r="A146" s="95" t="inlineStr">
        <is>
          <t>Duval County, Florida</t>
        </is>
      </c>
      <c r="B146" s="97" t="n">
        <v>1055159</v>
      </c>
      <c r="C146" s="95" t="n">
        <v>0.0143644783759894</v>
      </c>
      <c r="D146" s="97" t="n">
        <v>0.1753839467800164</v>
      </c>
      <c r="E146" s="95" t="n">
        <v>145</v>
      </c>
      <c r="F146" s="97" t="n">
        <v>0.503231446695532</v>
      </c>
      <c r="G146" s="94" t="n"/>
      <c r="H146" s="95" t="n"/>
      <c r="I146" s="97" t="n"/>
      <c r="J146" s="95" t="n"/>
      <c r="K146" s="97" t="n"/>
      <c r="L146" s="95" t="n"/>
      <c r="M146" s="97" t="n"/>
    </row>
    <row r="147">
      <c r="A147" s="93" t="inlineStr">
        <is>
          <t>Spokane County, Washington</t>
        </is>
      </c>
      <c r="B147" s="93" t="n">
        <v>555947</v>
      </c>
      <c r="C147" s="93" t="n">
        <v>0.006813125695216908</v>
      </c>
      <c r="D147" s="93" t="n">
        <v>0.05055409395106555</v>
      </c>
      <c r="E147" s="93" t="n">
        <v>146</v>
      </c>
      <c r="F147" s="93" t="n">
        <v>0.5022922142820565</v>
      </c>
      <c r="G147" s="94" t="n"/>
      <c r="H147" s="93" t="n"/>
      <c r="I147" s="93" t="n"/>
      <c r="J147" s="93" t="n"/>
      <c r="K147" s="93" t="n"/>
      <c r="L147" s="93" t="n"/>
      <c r="M147" s="93" t="n"/>
    </row>
    <row r="148" ht="15" customHeight="1" s="54" thickBot="1">
      <c r="A148" s="95" t="inlineStr">
        <is>
          <t>Jefferson Parish, Louisiana</t>
        </is>
      </c>
      <c r="B148" s="97" t="n">
        <v>427253</v>
      </c>
      <c r="C148" s="95" t="n">
        <v>-0.007102947831366673</v>
      </c>
      <c r="D148" s="97" t="n">
        <v>0.003698661132263904</v>
      </c>
      <c r="E148" s="95" t="n">
        <v>147</v>
      </c>
      <c r="F148" s="97" t="n">
        <v>0.5019485799584633</v>
      </c>
      <c r="G148" s="94" t="n"/>
      <c r="H148" s="95" t="n"/>
      <c r="I148" s="97" t="n"/>
      <c r="J148" s="95" t="n"/>
      <c r="K148" s="97" t="n"/>
      <c r="L148" s="95" t="n"/>
      <c r="M148" s="97" t="n"/>
    </row>
    <row r="149" ht="15" customHeight="1" s="54" thickTop="1">
      <c r="A149" s="108" t="inlineStr">
        <is>
          <t>Greene County, Missouri</t>
        </is>
      </c>
      <c r="B149" s="108" t="n">
        <v>307942</v>
      </c>
      <c r="C149" s="108" t="n">
        <v>0.007191011986690364</v>
      </c>
      <c r="D149" s="108" t="n">
        <v>0.05923181489401183</v>
      </c>
      <c r="E149" s="108" t="n">
        <v>148</v>
      </c>
      <c r="F149" s="108" t="n">
        <v>0.5018987607312997</v>
      </c>
      <c r="G149" s="109" t="n"/>
      <c r="H149" s="108" t="n"/>
      <c r="I149" s="108" t="n"/>
      <c r="J149" s="108" t="n"/>
      <c r="K149" s="108" t="n"/>
      <c r="L149" s="108" t="n"/>
      <c r="M149" s="108" t="n"/>
    </row>
    <row r="150">
      <c r="A150" s="107" t="inlineStr">
        <is>
          <t>Webb County, Texas</t>
        </is>
      </c>
      <c r="B150" s="107" t="n">
        <v>272823</v>
      </c>
      <c r="C150" s="107" t="n">
        <v>0.005100647796295742</v>
      </c>
      <c r="D150" s="107" t="n">
        <v>0.1585226976337321</v>
      </c>
      <c r="E150" s="107" t="n">
        <v>149</v>
      </c>
      <c r="F150" s="90" t="n">
        <v>0.50184971961181</v>
      </c>
      <c r="G150" s="90" t="n"/>
      <c r="H150" s="90" t="n"/>
      <c r="I150" s="90" t="n"/>
      <c r="J150" s="90" t="n"/>
      <c r="K150" s="90" t="n"/>
      <c r="L150" s="90" t="n"/>
      <c r="M150" s="90" t="n"/>
    </row>
    <row r="151">
      <c r="A151" s="90" t="inlineStr">
        <is>
          <t>Sedgwick County, Kansas</t>
        </is>
      </c>
      <c r="B151" s="90" t="n">
        <v>536081</v>
      </c>
      <c r="C151" s="90" t="n">
        <v>0.005355948608806163</v>
      </c>
      <c r="D151" s="90" t="n">
        <v>0.03082118305765863</v>
      </c>
      <c r="E151" s="90" t="n">
        <v>150</v>
      </c>
      <c r="F151" s="91" t="n">
        <v>0.5010569235134522</v>
      </c>
      <c r="G151" s="91" t="n"/>
      <c r="H151" s="91" t="n"/>
      <c r="I151" s="91" t="n"/>
      <c r="J151" s="90" t="n"/>
      <c r="K151" s="90" t="n"/>
      <c r="L151" s="90" t="n"/>
      <c r="M151" s="90" t="n"/>
    </row>
    <row r="152">
      <c r="A152" s="90" t="inlineStr">
        <is>
          <t>Onondaga County, New York</t>
        </is>
      </c>
      <c r="B152" s="90" t="n">
        <v>469812</v>
      </c>
      <c r="C152" s="90" t="n">
        <v>-0.002322771383625253</v>
      </c>
      <c r="D152" s="90" t="n">
        <v>0.1304544667763207</v>
      </c>
      <c r="E152" s="90" t="n">
        <v>151</v>
      </c>
      <c r="F152" s="91" t="n">
        <v>0.5010377318995655</v>
      </c>
      <c r="G152" s="91" t="n"/>
      <c r="H152" s="91" t="n"/>
      <c r="I152" s="91" t="n"/>
      <c r="J152" s="90" t="n"/>
      <c r="K152" s="90" t="n"/>
      <c r="L152" s="90" t="n"/>
      <c r="M152" s="90" t="n"/>
    </row>
    <row r="153">
      <c r="A153" s="90" t="inlineStr">
        <is>
          <t>Doña Ana County, New Mexico</t>
        </is>
      </c>
      <c r="B153" s="90" t="n">
        <v>229366</v>
      </c>
      <c r="C153" s="90" t="n">
        <v>0.01056146026927918</v>
      </c>
      <c r="D153" s="90" t="n">
        <v>0.05515959077246517</v>
      </c>
      <c r="E153" s="90" t="n">
        <v>152</v>
      </c>
      <c r="F153" s="91" t="n">
        <v>0.5007291038862098</v>
      </c>
      <c r="G153" s="91" t="n"/>
      <c r="H153" s="91" t="n"/>
      <c r="I153" s="91" t="n"/>
      <c r="J153" s="90" t="n"/>
      <c r="K153" s="90" t="n"/>
      <c r="L153" s="90" t="n"/>
      <c r="M153" s="90" t="n"/>
    </row>
    <row r="154">
      <c r="A154" s="92" t="inlineStr">
        <is>
          <t>DuPage County, Illinois</t>
        </is>
      </c>
      <c r="B154" s="92" t="n">
        <v>937142</v>
      </c>
      <c r="C154" s="92" t="n">
        <v>0.001512064308626442</v>
      </c>
      <c r="D154" s="92" t="n">
        <v>0.0785240716982574</v>
      </c>
      <c r="E154" s="92" t="n">
        <v>153</v>
      </c>
      <c r="F154" s="92" t="n">
        <v>0.5006745078856339</v>
      </c>
      <c r="H154" s="92" t="n"/>
      <c r="I154" s="92" t="n"/>
      <c r="J154" s="92" t="n"/>
      <c r="K154" s="92" t="n"/>
      <c r="L154" s="92" t="n"/>
      <c r="M154" s="92" t="n"/>
    </row>
    <row r="155">
      <c r="A155" s="93" t="inlineStr">
        <is>
          <t>York County, South Carolina</t>
        </is>
      </c>
      <c r="B155" s="93" t="n">
        <v>303001</v>
      </c>
      <c r="C155" s="93" t="n">
        <v>0.01685590181144359</v>
      </c>
      <c r="D155" s="93" t="n">
        <v>0.05522422000368064</v>
      </c>
      <c r="E155" s="93" t="n">
        <v>154</v>
      </c>
      <c r="F155" s="93" t="n">
        <v>0.5006119589584986</v>
      </c>
      <c r="G155" s="94" t="n"/>
      <c r="H155" s="93" t="n"/>
      <c r="I155" s="93" t="n"/>
      <c r="J155" s="93" t="n"/>
      <c r="K155" s="93" t="n"/>
      <c r="L155" s="93" t="n"/>
      <c r="M155" s="93" t="n"/>
    </row>
    <row r="156">
      <c r="A156" s="93" t="inlineStr">
        <is>
          <t>Sumner County, Tennessee</t>
        </is>
      </c>
      <c r="B156" s="93" t="n">
        <v>211721</v>
      </c>
      <c r="C156" s="93" t="n">
        <v>0.0181098672880154</v>
      </c>
      <c r="D156" s="93" t="n">
        <v>0.05567957916216203</v>
      </c>
      <c r="E156" s="93" t="n">
        <v>155</v>
      </c>
      <c r="F156" s="93" t="n">
        <v>0.5000863780227204</v>
      </c>
      <c r="G156" s="94" t="n"/>
      <c r="H156" s="93" t="n"/>
      <c r="I156" s="93" t="n"/>
      <c r="J156" s="93" t="n"/>
      <c r="K156" s="93" t="n"/>
      <c r="L156" s="93" t="n"/>
      <c r="M156" s="93" t="n"/>
    </row>
    <row r="157">
      <c r="A157" s="99" t="inlineStr">
        <is>
          <t>Chesapeake, Virginia</t>
        </is>
      </c>
      <c r="B157" s="106" t="n">
        <v>254997</v>
      </c>
      <c r="C157" s="102" t="n">
        <v>0.005276783354556594</v>
      </c>
      <c r="D157" s="106" t="n">
        <v>0.03670042167179486</v>
      </c>
      <c r="E157" s="102" t="n">
        <v>156</v>
      </c>
      <c r="F157" s="106" t="n">
        <v>0.4999056197739317</v>
      </c>
      <c r="G157" s="101" t="n"/>
      <c r="H157" s="99" t="n"/>
      <c r="I157" s="106" t="n"/>
      <c r="J157" s="102" t="n"/>
      <c r="K157" s="106" t="n"/>
      <c r="L157" s="102" t="n"/>
      <c r="M157" s="106" t="n"/>
    </row>
    <row r="158">
      <c r="A158" s="95" t="inlineStr">
        <is>
          <t>Bernalillo County, New Mexico</t>
        </is>
      </c>
      <c r="B158" s="93" t="n">
        <v>671747</v>
      </c>
      <c r="C158" s="96" t="n">
        <v>-0.001896563950585183</v>
      </c>
      <c r="D158" s="93" t="n">
        <v>0.0709479498518502</v>
      </c>
      <c r="E158" s="96" t="n">
        <v>157</v>
      </c>
      <c r="F158" s="93" t="n">
        <v>0.4996025957464156</v>
      </c>
      <c r="G158" s="94" t="n"/>
      <c r="H158" s="95" t="n"/>
      <c r="I158" s="93" t="n"/>
      <c r="J158" s="96" t="n"/>
      <c r="K158" s="93" t="n"/>
      <c r="L158" s="96" t="n"/>
      <c r="M158" s="93" t="n"/>
    </row>
    <row r="159">
      <c r="A159" s="102" t="inlineStr">
        <is>
          <t>Pasco County, Florida</t>
        </is>
      </c>
      <c r="B159" s="106" t="n">
        <v>659114</v>
      </c>
      <c r="C159" s="102" t="n">
        <v>0.04103450833830818</v>
      </c>
      <c r="D159" s="106" t="n">
        <v>0.2056311613769994</v>
      </c>
      <c r="E159" s="102" t="n">
        <v>158</v>
      </c>
      <c r="F159" s="106" t="n">
        <v>0.4995512211202708</v>
      </c>
      <c r="G159" s="101" t="n"/>
      <c r="H159" s="102" t="n"/>
      <c r="I159" s="106" t="n"/>
      <c r="J159" s="102" t="n"/>
      <c r="K159" s="106" t="n"/>
      <c r="L159" s="102" t="n"/>
      <c r="M159" s="106" t="n"/>
    </row>
    <row r="160">
      <c r="A160" s="102" t="inlineStr">
        <is>
          <t>Hillsborough County, New Hampshire</t>
        </is>
      </c>
      <c r="B160" s="106" t="n">
        <v>430462</v>
      </c>
      <c r="C160" s="102" t="n">
        <v>0.004452875068864987</v>
      </c>
      <c r="D160" s="106" t="n">
        <v>0.03825629905048857</v>
      </c>
      <c r="E160" s="102" t="n">
        <v>159</v>
      </c>
      <c r="F160" s="106" t="n">
        <v>0.4995377588547099</v>
      </c>
      <c r="G160" s="101" t="n"/>
      <c r="H160" s="102" t="n"/>
      <c r="I160" s="106" t="n"/>
      <c r="J160" s="102" t="n"/>
      <c r="K160" s="106" t="n"/>
      <c r="L160" s="102" t="n"/>
      <c r="M160" s="106" t="n"/>
    </row>
    <row r="161">
      <c r="A161" s="96" t="inlineStr">
        <is>
          <t>Davis County, Utah</t>
        </is>
      </c>
      <c r="B161" s="93" t="n">
        <v>378470</v>
      </c>
      <c r="C161" s="96" t="n">
        <v>0.0101039673638143</v>
      </c>
      <c r="D161" s="93" t="n">
        <v>0.01340130535241404</v>
      </c>
      <c r="E161" s="96" t="n">
        <v>160</v>
      </c>
      <c r="F161" s="93" t="n">
        <v>0.4986926543706376</v>
      </c>
      <c r="G161" s="94" t="n"/>
      <c r="H161" s="96" t="n"/>
      <c r="I161" s="93" t="n"/>
      <c r="J161" s="96" t="n"/>
      <c r="K161" s="93" t="n"/>
      <c r="L161" s="96" t="n"/>
      <c r="M161" s="93" t="n"/>
    </row>
    <row r="162">
      <c r="A162" s="96" t="inlineStr">
        <is>
          <t>Washoe County, Nevada</t>
        </is>
      </c>
      <c r="B162" s="93" t="n">
        <v>507280</v>
      </c>
      <c r="C162" s="96" t="n">
        <v>0.0100235788610385</v>
      </c>
      <c r="D162" s="93" t="n">
        <v>0.03850690033916446</v>
      </c>
      <c r="E162" s="96" t="n">
        <v>161</v>
      </c>
      <c r="F162" s="93" t="n">
        <v>0.4969133848345628</v>
      </c>
      <c r="G162" s="94" t="n"/>
      <c r="H162" s="96" t="n"/>
      <c r="I162" s="93" t="n"/>
      <c r="J162" s="96" t="n"/>
      <c r="K162" s="93" t="n"/>
      <c r="L162" s="96" t="n"/>
      <c r="M162" s="93" t="n"/>
    </row>
    <row r="163">
      <c r="A163" s="111" t="inlineStr">
        <is>
          <t>Hinds County, Mississippi</t>
        </is>
      </c>
      <c r="B163" s="111" t="n">
        <v>211975</v>
      </c>
      <c r="C163" s="111" t="n">
        <v>-0.01631264000846665</v>
      </c>
      <c r="D163" s="111" t="n">
        <v>0.006350733723213237</v>
      </c>
      <c r="E163" s="111" t="n">
        <v>162</v>
      </c>
      <c r="F163" s="111" t="n">
        <v>0.4965947544128864</v>
      </c>
      <c r="G163" s="112" t="n"/>
      <c r="H163" s="111" t="n"/>
      <c r="I163" s="111" t="n"/>
      <c r="J163" s="111" t="n"/>
      <c r="K163" s="111" t="n"/>
      <c r="L163" s="111" t="n"/>
      <c r="M163" s="111" t="n"/>
    </row>
    <row r="164">
      <c r="A164" s="95" t="inlineStr">
        <is>
          <t>Knox County, Tennessee</t>
        </is>
      </c>
      <c r="B164" s="93" t="n">
        <v>506748</v>
      </c>
      <c r="C164" s="96" t="n">
        <v>0.01364014733731505</v>
      </c>
      <c r="D164" s="93" t="n">
        <v>0.116111581912137</v>
      </c>
      <c r="E164" s="96" t="n">
        <v>163</v>
      </c>
      <c r="F164" s="93" t="n">
        <v>0.4959740997819479</v>
      </c>
      <c r="G164" s="94" t="n"/>
      <c r="H164" s="95" t="n"/>
      <c r="I164" s="93" t="n"/>
      <c r="J164" s="96" t="n"/>
      <c r="K164" s="93" t="n"/>
      <c r="L164" s="96" t="n"/>
      <c r="M164" s="93" t="n"/>
    </row>
    <row r="165">
      <c r="A165" s="93" t="inlineStr">
        <is>
          <t>Washington County, Utah</t>
        </is>
      </c>
      <c r="B165" s="93" t="n">
        <v>207943</v>
      </c>
      <c r="C165" s="93" t="n">
        <v>0.03559048283515264</v>
      </c>
      <c r="D165" s="93" t="n">
        <v>0.03629496197515539</v>
      </c>
      <c r="E165" s="93" t="n">
        <v>164</v>
      </c>
      <c r="F165" s="93" t="n">
        <v>0.4955554652348424</v>
      </c>
      <c r="G165" s="94" t="n"/>
      <c r="H165" s="93" t="n"/>
      <c r="I165" s="93" t="n"/>
      <c r="J165" s="93" t="n"/>
      <c r="K165" s="93" t="n"/>
      <c r="L165" s="93" t="n"/>
      <c r="M165" s="93" t="n"/>
    </row>
    <row r="166">
      <c r="A166" s="102" t="inlineStr">
        <is>
          <t>Collier County, Florida</t>
        </is>
      </c>
      <c r="B166" s="106" t="n">
        <v>416233</v>
      </c>
      <c r="C166" s="102" t="n">
        <v>0.02577445266887693</v>
      </c>
      <c r="D166" s="106" t="n">
        <v>0.05281370336211283</v>
      </c>
      <c r="E166" s="102" t="n">
        <v>165</v>
      </c>
      <c r="F166" s="106" t="n">
        <v>0.4941631343866196</v>
      </c>
      <c r="G166" s="101" t="n"/>
      <c r="H166" s="102" t="n"/>
      <c r="I166" s="106" t="n"/>
      <c r="J166" s="102" t="n"/>
      <c r="K166" s="106" t="n"/>
      <c r="L166" s="102" t="n"/>
      <c r="M166" s="106" t="n"/>
    </row>
    <row r="167">
      <c r="A167" s="103" t="inlineStr">
        <is>
          <t>Greenville County, South Carolina</t>
        </is>
      </c>
      <c r="B167" s="103" t="n">
        <v>570745</v>
      </c>
      <c r="C167" s="103" t="n">
        <v>0.02061530612631954</v>
      </c>
      <c r="D167" s="103" t="n">
        <v>0.1103021561380876</v>
      </c>
      <c r="E167" s="103" t="n">
        <v>166</v>
      </c>
      <c r="F167" s="103" t="n">
        <v>0.494051704327783</v>
      </c>
      <c r="G167" s="104" t="n"/>
      <c r="H167" s="103" t="n"/>
      <c r="I167" s="103" t="n"/>
      <c r="J167" s="103" t="n"/>
      <c r="K167" s="103" t="n"/>
      <c r="L167" s="103" t="n"/>
      <c r="M167" s="103" t="n"/>
    </row>
    <row r="168">
      <c r="A168" s="95" t="inlineStr">
        <is>
          <t>Yavapai County, Arizona</t>
        </is>
      </c>
      <c r="B168" s="93" t="n">
        <v>252013</v>
      </c>
      <c r="C168" s="96" t="n">
        <v>0.01558100224256833</v>
      </c>
      <c r="D168" s="93" t="n">
        <v>0.1578769026301479</v>
      </c>
      <c r="E168" s="96" t="n">
        <v>167</v>
      </c>
      <c r="F168" s="93" t="n">
        <v>0.4939454360144039</v>
      </c>
      <c r="G168" s="94" t="n"/>
      <c r="H168" s="95" t="n"/>
      <c r="I168" s="93" t="n"/>
      <c r="J168" s="96" t="n"/>
      <c r="K168" s="93" t="n"/>
      <c r="L168" s="96" t="n"/>
      <c r="M168" s="93" t="n"/>
    </row>
    <row r="169">
      <c r="A169" s="93" t="inlineStr">
        <is>
          <t>Oneida County, New York</t>
        </is>
      </c>
      <c r="B169" s="93" t="n">
        <v>228347</v>
      </c>
      <c r="C169" s="93" t="n">
        <v>-0.002981354634080907</v>
      </c>
      <c r="D169" s="93" t="n">
        <v>0.0461949507528586</v>
      </c>
      <c r="E169" s="93" t="n">
        <v>168</v>
      </c>
      <c r="F169" s="93" t="n">
        <v>0.4935756813284863</v>
      </c>
      <c r="G169" s="94" t="n"/>
      <c r="H169" s="93" t="n"/>
      <c r="I169" s="93" t="n"/>
      <c r="J169" s="93" t="n"/>
      <c r="K169" s="93" t="n"/>
      <c r="L169" s="93" t="n"/>
      <c r="M169" s="93" t="n"/>
    </row>
    <row r="170">
      <c r="A170" s="93" t="inlineStr">
        <is>
          <t>Jackson County, Oregon</t>
        </is>
      </c>
      <c r="B170" s="93" t="n">
        <v>221331</v>
      </c>
      <c r="C170" s="93" t="n">
        <v>-0.00270831936716498</v>
      </c>
      <c r="D170" s="93" t="n">
        <v>0.01563597289087817</v>
      </c>
      <c r="E170" s="93" t="n">
        <v>169</v>
      </c>
      <c r="F170" s="93" t="n">
        <v>0.4935565970634597</v>
      </c>
      <c r="G170" s="94" t="n"/>
      <c r="H170" s="93" t="n"/>
      <c r="I170" s="93" t="n"/>
      <c r="J170" s="93" t="n"/>
      <c r="K170" s="93" t="n"/>
      <c r="L170" s="93" t="n"/>
      <c r="M170" s="93" t="n"/>
    </row>
    <row r="171">
      <c r="A171" s="113" t="inlineStr">
        <is>
          <t>Chester County, Pennsylvania</t>
        </is>
      </c>
      <c r="B171" s="106" t="n">
        <v>560745</v>
      </c>
      <c r="C171" s="113" t="n">
        <v>0.01209896047563848</v>
      </c>
      <c r="D171" s="106" t="n">
        <v>0.1862512919846298</v>
      </c>
      <c r="E171" s="113" t="n">
        <v>170</v>
      </c>
      <c r="F171" s="106" t="n">
        <v>0.4907019466181998</v>
      </c>
      <c r="G171" s="101" t="n"/>
      <c r="H171" s="113" t="n"/>
      <c r="I171" s="106" t="n"/>
      <c r="J171" s="113" t="n"/>
      <c r="K171" s="106" t="n"/>
      <c r="L171" s="113" t="n"/>
      <c r="M171" s="106" t="n"/>
    </row>
    <row r="172">
      <c r="A172" s="113" t="inlineStr">
        <is>
          <t>Lackawanna County, Pennsylvania</t>
        </is>
      </c>
      <c r="B172" s="106" t="n">
        <v>216859</v>
      </c>
      <c r="C172" s="113" t="n">
        <v>0.001532212417299966</v>
      </c>
      <c r="D172" s="106" t="n">
        <v>0.126879978429661</v>
      </c>
      <c r="E172" s="113" t="n">
        <v>171</v>
      </c>
      <c r="F172" s="106" t="n">
        <v>0.4902874457202353</v>
      </c>
      <c r="G172" s="101" t="n"/>
      <c r="H172" s="113" t="n"/>
      <c r="I172" s="106" t="n"/>
      <c r="J172" s="113" t="n"/>
      <c r="K172" s="106" t="n"/>
      <c r="L172" s="113" t="n"/>
      <c r="M172" s="106" t="n"/>
    </row>
    <row r="173">
      <c r="A173" s="113" t="inlineStr">
        <is>
          <t>DeKalb County, Georgia</t>
        </is>
      </c>
      <c r="B173" s="106" t="n">
        <v>770307</v>
      </c>
      <c r="C173" s="113" t="n">
        <v>0.001856126492551953</v>
      </c>
      <c r="D173" s="106" t="n">
        <v>0.02099542609838328</v>
      </c>
      <c r="E173" s="113" t="n">
        <v>172</v>
      </c>
      <c r="F173" s="106" t="n">
        <v>0.4895085784769275</v>
      </c>
      <c r="G173" s="101" t="n"/>
      <c r="H173" s="113" t="n"/>
      <c r="I173" s="106" t="n"/>
      <c r="J173" s="113" t="n"/>
      <c r="K173" s="106" t="n"/>
      <c r="L173" s="113" t="n"/>
      <c r="M173" s="106" t="n"/>
    </row>
    <row r="174">
      <c r="A174" s="98" t="inlineStr">
        <is>
          <t>Allen County, Indiana</t>
        </is>
      </c>
      <c r="B174" s="93" t="n">
        <v>399295</v>
      </c>
      <c r="C174" s="98" t="n">
        <v>0.008528370493340206</v>
      </c>
      <c r="D174" s="93" t="n">
        <v>0.1611456871671212</v>
      </c>
      <c r="E174" s="98" t="n">
        <v>173</v>
      </c>
      <c r="F174" s="93" t="n">
        <v>0.489284671610092</v>
      </c>
      <c r="G174" s="94" t="n"/>
      <c r="H174" s="98" t="n"/>
      <c r="I174" s="93" t="n"/>
      <c r="J174" s="98" t="n"/>
      <c r="K174" s="93" t="n"/>
      <c r="L174" s="98" t="n"/>
      <c r="M174" s="93" t="n"/>
    </row>
    <row r="175">
      <c r="A175" s="97" t="inlineStr">
        <is>
          <t>East Baton Rouge Parish, Louisiana</t>
        </is>
      </c>
      <c r="B175" s="93" t="n">
        <v>453022</v>
      </c>
      <c r="C175" s="97" t="n">
        <v>-0.001586915133489502</v>
      </c>
      <c r="D175" s="93" t="n">
        <v>0</v>
      </c>
      <c r="E175" s="97" t="n">
        <v>174</v>
      </c>
      <c r="F175" s="93" t="n">
        <v>0.4891745343916328</v>
      </c>
      <c r="G175" s="94" t="n"/>
      <c r="H175" s="97" t="n"/>
      <c r="I175" s="93" t="n"/>
      <c r="J175" s="97" t="n"/>
      <c r="K175" s="93" t="n"/>
      <c r="L175" s="97" t="n"/>
      <c r="M175" s="93" t="n"/>
    </row>
    <row r="176">
      <c r="A176" s="98" t="inlineStr">
        <is>
          <t>Galveston County, Texas</t>
        </is>
      </c>
      <c r="B176" s="93" t="n">
        <v>367407</v>
      </c>
      <c r="C176" s="98" t="n">
        <v>0.01123487653794304</v>
      </c>
      <c r="D176" s="93" t="n">
        <v>0.05111861731745722</v>
      </c>
      <c r="E176" s="98" t="n">
        <v>175</v>
      </c>
      <c r="F176" s="93" t="n">
        <v>0.4887981197429691</v>
      </c>
      <c r="G176" s="94" t="n"/>
      <c r="H176" s="98" t="n"/>
      <c r="I176" s="93" t="n"/>
      <c r="J176" s="98" t="n"/>
      <c r="K176" s="93" t="n"/>
      <c r="L176" s="98" t="n"/>
      <c r="M176" s="93" t="n"/>
    </row>
    <row r="177">
      <c r="A177" s="93" t="inlineStr">
        <is>
          <t>Westmoreland County, Pennsylvania</t>
        </is>
      </c>
      <c r="B177" s="93" t="n">
        <v>350935</v>
      </c>
      <c r="C177" s="93" t="n">
        <v>-0.002401654912386161</v>
      </c>
      <c r="D177" s="93" t="n">
        <v>0.04318987091754765</v>
      </c>
      <c r="E177" s="93" t="n">
        <v>176</v>
      </c>
      <c r="F177" s="93" t="n">
        <v>0.4886305811316921</v>
      </c>
      <c r="G177" s="94" t="n"/>
      <c r="H177" s="93" t="n"/>
      <c r="I177" s="93" t="n"/>
      <c r="J177" s="93" t="n"/>
      <c r="K177" s="93" t="n"/>
      <c r="L177" s="93" t="n"/>
      <c r="M177" s="93" t="n"/>
    </row>
    <row r="178">
      <c r="A178" s="102" t="inlineStr">
        <is>
          <t>New Hanover County, North Carolina</t>
        </is>
      </c>
      <c r="B178" s="106" t="n">
        <v>243333</v>
      </c>
      <c r="C178" s="102" t="n">
        <v>0.01864826313139788</v>
      </c>
      <c r="D178" s="106" t="n">
        <v>0.09160082900287014</v>
      </c>
      <c r="E178" s="102" t="n">
        <v>177</v>
      </c>
      <c r="F178" s="106" t="n">
        <v>0.4878163696461343</v>
      </c>
      <c r="G178" s="101" t="n"/>
      <c r="H178" s="102" t="n"/>
      <c r="I178" s="106" t="n"/>
      <c r="J178" s="102" t="n"/>
      <c r="K178" s="106" t="n"/>
      <c r="L178" s="102" t="n"/>
      <c r="M178" s="106" t="n"/>
    </row>
    <row r="179">
      <c r="A179" s="99" t="inlineStr">
        <is>
          <t>Maricopa County, Arizona</t>
        </is>
      </c>
      <c r="B179" s="106" t="n">
        <v>4673096</v>
      </c>
      <c r="C179" s="99" t="n">
        <v>0.01280426011969636</v>
      </c>
      <c r="D179" s="106" t="n">
        <v>0.1018926284741219</v>
      </c>
      <c r="E179" s="102" t="n">
        <v>178</v>
      </c>
      <c r="F179" s="106" t="n">
        <v>0.4876580344996929</v>
      </c>
      <c r="G179" s="101" t="n"/>
      <c r="H179" s="99" t="n"/>
      <c r="I179" s="106" t="n"/>
      <c r="J179" s="99" t="n"/>
      <c r="K179" s="106" t="n"/>
      <c r="L179" s="102" t="n"/>
      <c r="M179" s="106" t="n"/>
    </row>
    <row r="180">
      <c r="A180" s="107" t="inlineStr">
        <is>
          <t>Jefferson County, Alabama</t>
        </is>
      </c>
      <c r="B180" s="107" t="n">
        <v>664744</v>
      </c>
      <c r="C180" s="107" t="n">
        <v>-0.003698903408341448</v>
      </c>
      <c r="D180" s="107" t="n">
        <v>0</v>
      </c>
      <c r="E180" s="107" t="n">
        <v>179</v>
      </c>
      <c r="F180" s="90" t="n">
        <v>0.4872277517726663</v>
      </c>
      <c r="G180" s="90" t="n"/>
      <c r="H180" s="90" t="n"/>
      <c r="I180" s="90" t="n"/>
      <c r="J180" s="90" t="n"/>
      <c r="K180" s="90" t="n"/>
      <c r="L180" s="90" t="n"/>
      <c r="M180" s="90" t="n"/>
    </row>
    <row r="181">
      <c r="A181" s="90" t="inlineStr">
        <is>
          <t>Will County, Illinois</t>
        </is>
      </c>
      <c r="B181" s="90" t="n">
        <v>708583</v>
      </c>
      <c r="C181" s="90" t="n">
        <v>0.004187777744296601</v>
      </c>
      <c r="D181" s="90" t="n">
        <v>0.1901462929276179</v>
      </c>
      <c r="E181" s="90" t="n">
        <v>180</v>
      </c>
      <c r="F181" s="91" t="n">
        <v>0.4870930673217982</v>
      </c>
      <c r="G181" s="91" t="n"/>
      <c r="H181" s="91" t="n"/>
      <c r="I181" s="91" t="n"/>
      <c r="J181" s="90" t="n"/>
      <c r="K181" s="90" t="n"/>
      <c r="L181" s="90" t="n"/>
      <c r="M181" s="90" t="n"/>
    </row>
    <row r="182">
      <c r="A182" s="90" t="inlineStr">
        <is>
          <t>Montgomery County, Pennsylvania</t>
        </is>
      </c>
      <c r="B182" s="90" t="n">
        <v>879190</v>
      </c>
      <c r="C182" s="90" t="n">
        <v>0.006503092542887151</v>
      </c>
      <c r="D182" s="90" t="n">
        <v>0.1332472742203724</v>
      </c>
      <c r="E182" s="90" t="n">
        <v>181</v>
      </c>
      <c r="F182" s="91" t="n">
        <v>0.4869526815461173</v>
      </c>
      <c r="G182" s="91" t="n"/>
      <c r="H182" s="91" t="n"/>
      <c r="I182" s="91" t="n"/>
      <c r="J182" s="90" t="n"/>
      <c r="K182" s="90" t="n"/>
      <c r="L182" s="90" t="n"/>
      <c r="M182" s="90" t="n"/>
    </row>
    <row r="183">
      <c r="A183" s="90" t="inlineStr">
        <is>
          <t>Rutherford County, Tennessee</t>
        </is>
      </c>
      <c r="B183" s="90" t="n">
        <v>376996</v>
      </c>
      <c r="C183" s="90" t="n">
        <v>0.02453670529155088</v>
      </c>
      <c r="D183" s="90" t="n">
        <v>0.1545449219322143</v>
      </c>
      <c r="E183" s="90" t="n">
        <v>182</v>
      </c>
      <c r="F183" s="91" t="n">
        <v>0.4858707240109299</v>
      </c>
      <c r="G183" s="91" t="n"/>
      <c r="H183" s="91" t="n"/>
      <c r="I183" s="91" t="n"/>
      <c r="J183" s="90" t="n"/>
      <c r="K183" s="90" t="n"/>
      <c r="L183" s="90" t="n"/>
      <c r="M183" s="90" t="n"/>
    </row>
    <row r="184">
      <c r="A184" s="92" t="inlineStr">
        <is>
          <t>Clermont County, Ohio</t>
        </is>
      </c>
      <c r="B184" s="92" t="n">
        <v>214123</v>
      </c>
      <c r="C184" s="92" t="n">
        <v>0.006428588536801514</v>
      </c>
      <c r="D184" s="92" t="n">
        <v>0.005296580946653499</v>
      </c>
      <c r="E184" s="92" t="n">
        <v>183</v>
      </c>
      <c r="F184" s="92" t="n">
        <v>0.4857213351849303</v>
      </c>
      <c r="H184" s="92" t="n"/>
      <c r="I184" s="92" t="n"/>
      <c r="J184" s="92" t="n"/>
      <c r="K184" s="92" t="n"/>
      <c r="L184" s="92" t="n"/>
      <c r="M184" s="92" t="n"/>
    </row>
    <row r="185">
      <c r="A185" s="93" t="inlineStr">
        <is>
          <t>Dutchess County, New York</t>
        </is>
      </c>
      <c r="B185" s="93" t="n">
        <v>299963</v>
      </c>
      <c r="C185" s="93" t="n">
        <v>0.003421613785132793</v>
      </c>
      <c r="D185" s="93" t="n">
        <v>0.371735474301217</v>
      </c>
      <c r="E185" s="93" t="n">
        <v>184</v>
      </c>
      <c r="F185" s="93" t="n">
        <v>0.4855539708927188</v>
      </c>
      <c r="G185" s="94" t="n"/>
      <c r="H185" s="93" t="n"/>
      <c r="I185" s="93" t="n"/>
      <c r="J185" s="93" t="n"/>
      <c r="K185" s="93" t="n"/>
      <c r="L185" s="93" t="n"/>
      <c r="M185" s="93" t="n"/>
    </row>
    <row r="186">
      <c r="A186" s="93" t="inlineStr">
        <is>
          <t>Bristol County, Massachusetts</t>
        </is>
      </c>
      <c r="B186" s="93" t="n">
        <v>588593</v>
      </c>
      <c r="C186" s="93" t="n">
        <v>0.0051220057700043</v>
      </c>
      <c r="D186" s="93" t="n">
        <v>0.05329855688638474</v>
      </c>
      <c r="E186" s="93" t="n">
        <v>185</v>
      </c>
      <c r="F186" s="93" t="n">
        <v>0.4848412136566642</v>
      </c>
      <c r="G186" s="94" t="n"/>
      <c r="H186" s="93" t="n"/>
      <c r="I186" s="93" t="n"/>
      <c r="J186" s="93" t="n"/>
      <c r="K186" s="93" t="n"/>
      <c r="L186" s="93" t="n"/>
      <c r="M186" s="93" t="n"/>
    </row>
    <row r="187">
      <c r="A187" s="93" t="inlineStr">
        <is>
          <t>Jefferson County, Kentucky</t>
        </is>
      </c>
      <c r="B187" s="93" t="n">
        <v>793881</v>
      </c>
      <c r="C187" s="93" t="n">
        <v>0.003507809466391449</v>
      </c>
      <c r="D187" s="93" t="n">
        <v>0.09622658255105426</v>
      </c>
      <c r="E187" s="93" t="n">
        <v>186</v>
      </c>
      <c r="F187" s="93" t="n">
        <v>0.4847982737732126</v>
      </c>
      <c r="G187" s="94" t="n"/>
      <c r="H187" s="93" t="n"/>
      <c r="I187" s="93" t="n"/>
      <c r="J187" s="93" t="n"/>
      <c r="K187" s="93" t="n"/>
      <c r="L187" s="93" t="n"/>
      <c r="M187" s="93" t="n"/>
    </row>
    <row r="188">
      <c r="A188" s="102" t="inlineStr">
        <is>
          <t>Lafayette Parish, Louisiana</t>
        </is>
      </c>
      <c r="B188" s="100" t="n">
        <v>254241</v>
      </c>
      <c r="C188" s="102" t="n">
        <v>0.01245261749622179</v>
      </c>
      <c r="D188" s="100" t="n">
        <v>0.01889631797424045</v>
      </c>
      <c r="E188" s="99" t="n">
        <v>187</v>
      </c>
      <c r="F188" s="100" t="n">
        <v>0.4827747095654731</v>
      </c>
      <c r="G188" s="101" t="n"/>
      <c r="H188" s="102" t="n"/>
      <c r="I188" s="100" t="n"/>
      <c r="J188" s="102" t="n"/>
      <c r="K188" s="100" t="n"/>
      <c r="L188" s="99" t="n"/>
      <c r="M188" s="100" t="n"/>
    </row>
    <row r="189">
      <c r="A189" s="102" t="inlineStr">
        <is>
          <t>Henry County, Georgia</t>
        </is>
      </c>
      <c r="B189" s="100" t="n">
        <v>259315</v>
      </c>
      <c r="C189" s="102" t="n">
        <v>0.01803470502383541</v>
      </c>
      <c r="D189" s="100" t="n">
        <v>0.2400558322552715</v>
      </c>
      <c r="E189" s="102" t="n">
        <v>188</v>
      </c>
      <c r="F189" s="100" t="n">
        <v>0.4826218682386581</v>
      </c>
      <c r="G189" s="101" t="n"/>
      <c r="H189" s="102" t="n"/>
      <c r="I189" s="100" t="n"/>
      <c r="J189" s="102" t="n"/>
      <c r="K189" s="100" t="n"/>
      <c r="L189" s="102" t="n"/>
      <c r="M189" s="100" t="n"/>
    </row>
    <row r="190">
      <c r="A190" s="99" t="inlineStr">
        <is>
          <t>Capitol Planning Region</t>
        </is>
      </c>
      <c r="B190" s="100" t="n">
        <v>991508</v>
      </c>
      <c r="C190" s="99" t="n">
        <v>0.007110346773323597</v>
      </c>
      <c r="D190" s="100" t="n">
        <v>0.1931354635686521</v>
      </c>
      <c r="E190" s="99" t="n">
        <v>189</v>
      </c>
      <c r="F190" s="100" t="n">
        <v>0.4822672482984289</v>
      </c>
      <c r="G190" s="101" t="n"/>
      <c r="H190" s="99" t="n"/>
      <c r="I190" s="100" t="n"/>
      <c r="J190" s="99" t="n"/>
      <c r="K190" s="100" t="n"/>
      <c r="L190" s="99" t="n"/>
      <c r="M190" s="100" t="n"/>
    </row>
    <row r="191">
      <c r="A191" s="102" t="inlineStr">
        <is>
          <t>St. Lucie County, Florida</t>
        </is>
      </c>
      <c r="B191" s="100" t="n">
        <v>390670</v>
      </c>
      <c r="C191" s="102" t="n">
        <v>0.04465759169253698</v>
      </c>
      <c r="D191" s="100" t="n">
        <v>0.3588579113676832</v>
      </c>
      <c r="E191" s="102" t="n">
        <v>190</v>
      </c>
      <c r="F191" s="100" t="n">
        <v>0.4820799350043344</v>
      </c>
      <c r="G191" s="101" t="n"/>
      <c r="H191" s="102" t="n"/>
      <c r="I191" s="100" t="n"/>
      <c r="J191" s="102" t="n"/>
      <c r="K191" s="100" t="n"/>
      <c r="L191" s="102" t="n"/>
      <c r="M191" s="100" t="n"/>
    </row>
    <row r="192">
      <c r="A192" s="102" t="inlineStr">
        <is>
          <t>Montgomery County, Ohio</t>
        </is>
      </c>
      <c r="B192" s="100" t="n">
        <v>537443</v>
      </c>
      <c r="C192" s="102" t="n">
        <v>0.0001414903777234571</v>
      </c>
      <c r="D192" s="100" t="n">
        <v>0.0265508764773447</v>
      </c>
      <c r="E192" s="99" t="n">
        <v>191</v>
      </c>
      <c r="F192" s="100" t="n">
        <v>0.481563079735926</v>
      </c>
      <c r="G192" s="101" t="n"/>
      <c r="H192" s="102" t="n"/>
      <c r="I192" s="100" t="n"/>
      <c r="J192" s="102" t="n"/>
      <c r="K192" s="100" t="n"/>
      <c r="L192" s="99" t="n"/>
      <c r="M192" s="100" t="n"/>
    </row>
    <row r="193">
      <c r="A193" s="102" t="inlineStr">
        <is>
          <t>Canyon County, Idaho</t>
        </is>
      </c>
      <c r="B193" s="100" t="n">
        <v>266892</v>
      </c>
      <c r="C193" s="102" t="n">
        <v>0.03632671189670044</v>
      </c>
      <c r="D193" s="100" t="n">
        <v>0.08416234994456058</v>
      </c>
      <c r="E193" s="102" t="n">
        <v>192</v>
      </c>
      <c r="F193" s="100" t="n">
        <v>0.4814812028936417</v>
      </c>
      <c r="G193" s="101" t="n"/>
      <c r="H193" s="102" t="n"/>
      <c r="I193" s="100" t="n"/>
      <c r="J193" s="102" t="n"/>
      <c r="K193" s="100" t="n"/>
      <c r="L193" s="102" t="n"/>
      <c r="M193" s="100" t="n"/>
    </row>
    <row r="194">
      <c r="A194" s="102" t="inlineStr">
        <is>
          <t>Bucks County, Pennsylvania</t>
        </is>
      </c>
      <c r="B194" s="100" t="n">
        <v>650131</v>
      </c>
      <c r="C194" s="102" t="n">
        <v>0.001524706355715811</v>
      </c>
      <c r="D194" s="100" t="n">
        <v>0.2010555221341372</v>
      </c>
      <c r="E194" s="102" t="n">
        <v>193</v>
      </c>
      <c r="F194" s="100" t="n">
        <v>0.48122204838349</v>
      </c>
      <c r="G194" s="101" t="n"/>
      <c r="H194" s="102" t="n"/>
      <c r="I194" s="100" t="n"/>
      <c r="J194" s="102" t="n"/>
      <c r="K194" s="100" t="n"/>
      <c r="L194" s="102" t="n"/>
      <c r="M194" s="100" t="n"/>
    </row>
    <row r="195">
      <c r="A195" s="102" t="inlineStr">
        <is>
          <t>McLennan County, Texas</t>
        </is>
      </c>
      <c r="B195" s="100" t="n">
        <v>270358</v>
      </c>
      <c r="C195" s="102" t="n">
        <v>0.008773239609176392</v>
      </c>
      <c r="D195" s="100" t="n">
        <v>0.03780432127767649</v>
      </c>
      <c r="E195" s="102" t="n">
        <v>194</v>
      </c>
      <c r="F195" s="100" t="n">
        <v>0.4809941595497566</v>
      </c>
      <c r="G195" s="101" t="n"/>
      <c r="H195" s="102" t="n"/>
      <c r="I195" s="100" t="n"/>
      <c r="J195" s="102" t="n"/>
      <c r="K195" s="100" t="n"/>
      <c r="L195" s="102" t="n"/>
      <c r="M195" s="100" t="n"/>
    </row>
    <row r="196">
      <c r="A196" s="95" t="inlineStr">
        <is>
          <t>Albany County, New York</t>
        </is>
      </c>
      <c r="B196" s="97" t="n">
        <v>319964</v>
      </c>
      <c r="C196" s="95" t="n">
        <v>0.004728937915573332</v>
      </c>
      <c r="D196" s="97" t="n">
        <v>0.1922609183627916</v>
      </c>
      <c r="E196" s="95" t="n">
        <v>195</v>
      </c>
      <c r="F196" s="97" t="n">
        <v>0.4809079122011122</v>
      </c>
      <c r="G196" s="94" t="n"/>
      <c r="H196" s="95" t="n"/>
      <c r="I196" s="97" t="n"/>
      <c r="J196" s="95" t="n"/>
      <c r="K196" s="97" t="n"/>
      <c r="L196" s="95" t="n"/>
      <c r="M196" s="97" t="n"/>
    </row>
    <row r="197">
      <c r="A197" s="93" t="inlineStr">
        <is>
          <t>Clark County, Washington</t>
        </is>
      </c>
      <c r="B197" s="93" t="n">
        <v>527269</v>
      </c>
      <c r="C197" s="93" t="n">
        <v>0.01083676486011046</v>
      </c>
      <c r="D197" s="93" t="n">
        <v>0.07596364935558889</v>
      </c>
      <c r="E197" s="93" t="n">
        <v>196</v>
      </c>
      <c r="F197" s="93" t="n">
        <v>0.4803983093082967</v>
      </c>
      <c r="G197" s="94" t="n"/>
      <c r="H197" s="93" t="n"/>
      <c r="I197" s="93" t="n"/>
      <c r="J197" s="93" t="n"/>
      <c r="K197" s="93" t="n"/>
      <c r="L197" s="93" t="n"/>
      <c r="M197" s="93" t="n"/>
    </row>
    <row r="198">
      <c r="A198" s="99" t="inlineStr">
        <is>
          <t>Larimer County, Colorado</t>
        </is>
      </c>
      <c r="B198" s="100" t="n">
        <v>374574</v>
      </c>
      <c r="C198" s="99" t="n">
        <v>0.01016997655112632</v>
      </c>
      <c r="D198" s="100" t="n">
        <v>0.1203889383629089</v>
      </c>
      <c r="E198" s="99" t="n">
        <v>197</v>
      </c>
      <c r="F198" s="100" t="n">
        <v>0.4799199226961715</v>
      </c>
      <c r="G198" s="101" t="n"/>
      <c r="H198" s="99" t="n"/>
      <c r="I198" s="100" t="n"/>
      <c r="J198" s="99" t="n"/>
      <c r="K198" s="100" t="n"/>
      <c r="L198" s="99" t="n"/>
      <c r="M198" s="100" t="n"/>
    </row>
    <row r="199">
      <c r="A199" s="99" t="inlineStr">
        <is>
          <t>Chatham County, Georgia</t>
        </is>
      </c>
      <c r="B199" s="100" t="n">
        <v>307336</v>
      </c>
      <c r="C199" s="99" t="n">
        <v>0.01038715449579091</v>
      </c>
      <c r="D199" s="100" t="n">
        <v>0.1586184707810538</v>
      </c>
      <c r="E199" s="99" t="n">
        <v>198</v>
      </c>
      <c r="F199" s="100" t="n">
        <v>0.4797001043019306</v>
      </c>
      <c r="G199" s="101" t="n"/>
      <c r="H199" s="99" t="n"/>
      <c r="I199" s="100" t="n"/>
      <c r="J199" s="99" t="n"/>
      <c r="K199" s="100" t="n"/>
      <c r="L199" s="99" t="n"/>
      <c r="M199" s="100" t="n"/>
    </row>
    <row r="200">
      <c r="A200" s="99" t="inlineStr">
        <is>
          <t>Cabarrus County, North Carolina</t>
        </is>
      </c>
      <c r="B200" s="100" t="n">
        <v>244925</v>
      </c>
      <c r="C200" s="99" t="n">
        <v>0.01946223073030123</v>
      </c>
      <c r="D200" s="100" t="n">
        <v>0.1528982538849802</v>
      </c>
      <c r="E200" s="99" t="n">
        <v>199</v>
      </c>
      <c r="F200" s="100" t="n">
        <v>0.479332845902934</v>
      </c>
      <c r="G200" s="101" t="n"/>
      <c r="H200" s="99" t="n"/>
      <c r="I200" s="100" t="n"/>
      <c r="J200" s="99" t="n"/>
      <c r="K200" s="100" t="n"/>
      <c r="L200" s="99" t="n"/>
      <c r="M200" s="100" t="n"/>
    </row>
    <row r="201">
      <c r="A201" s="102" t="inlineStr">
        <is>
          <t>Erie County, New York</t>
        </is>
      </c>
      <c r="B201" s="100" t="n">
        <v>950602</v>
      </c>
      <c r="C201" s="102" t="n">
        <v>-0.0004596509907565787</v>
      </c>
      <c r="D201" s="100" t="n">
        <v>0.2207411151447562</v>
      </c>
      <c r="E201" s="102" t="n">
        <v>200</v>
      </c>
      <c r="F201" s="100" t="n">
        <v>0.4770363217113923</v>
      </c>
      <c r="G201" s="101" t="n"/>
      <c r="H201" s="102" t="n"/>
      <c r="I201" s="100" t="n"/>
      <c r="J201" s="102" t="n"/>
      <c r="K201" s="100" t="n"/>
      <c r="L201" s="102" t="n"/>
      <c r="M201" s="100" t="n"/>
    </row>
    <row r="202">
      <c r="A202" s="102" t="inlineStr">
        <is>
          <t>Cameron County, Texas</t>
        </is>
      </c>
      <c r="B202" s="100" t="n">
        <v>431874</v>
      </c>
      <c r="C202" s="102" t="n">
        <v>0.006097127080210251</v>
      </c>
      <c r="D202" s="100" t="n">
        <v>0.1048225536842045</v>
      </c>
      <c r="E202" s="102" t="n">
        <v>201</v>
      </c>
      <c r="F202" s="100" t="n">
        <v>0.4767871697008893</v>
      </c>
      <c r="G202" s="101" t="n"/>
      <c r="H202" s="102" t="n"/>
      <c r="I202" s="100" t="n"/>
      <c r="J202" s="102" t="n"/>
      <c r="K202" s="100" t="n"/>
      <c r="L202" s="102" t="n"/>
      <c r="M202" s="100" t="n"/>
    </row>
    <row r="203">
      <c r="A203" s="102" t="inlineStr">
        <is>
          <t>Lake County, Indiana</t>
        </is>
      </c>
      <c r="B203" s="100" t="n">
        <v>502955</v>
      </c>
      <c r="C203" s="102" t="n">
        <v>0.002000148307589942</v>
      </c>
      <c r="D203" s="100" t="n">
        <v>0.07008280042145522</v>
      </c>
      <c r="E203" s="102" t="n">
        <v>202</v>
      </c>
      <c r="F203" s="100" t="n">
        <v>0.4767348978500948</v>
      </c>
      <c r="G203" s="101" t="n"/>
      <c r="H203" s="102" t="n"/>
      <c r="I203" s="100" t="n"/>
      <c r="J203" s="102" t="n"/>
      <c r="K203" s="100" t="n"/>
      <c r="L203" s="102" t="n"/>
      <c r="M203" s="100" t="n"/>
    </row>
    <row r="204">
      <c r="A204" s="95" t="inlineStr">
        <is>
          <t>Smith County, Texas</t>
        </is>
      </c>
      <c r="B204" s="97" t="n">
        <v>249091</v>
      </c>
      <c r="C204" s="95" t="n">
        <v>0.01589560204953032</v>
      </c>
      <c r="D204" s="97" t="n">
        <v>0.05001035936042209</v>
      </c>
      <c r="E204" s="95" t="n">
        <v>203</v>
      </c>
      <c r="F204" s="97" t="n">
        <v>0.4748274093109816</v>
      </c>
      <c r="G204" s="94" t="n"/>
      <c r="H204" s="95" t="n"/>
      <c r="I204" s="97" t="n"/>
      <c r="J204" s="95" t="n"/>
      <c r="K204" s="97" t="n"/>
      <c r="L204" s="95" t="n"/>
      <c r="M204" s="97" t="n"/>
    </row>
    <row r="205">
      <c r="A205" s="93" t="inlineStr">
        <is>
          <t>Jefferson County, Texas</t>
        </is>
      </c>
      <c r="B205" s="93" t="n">
        <v>253948</v>
      </c>
      <c r="C205" s="93" t="n">
        <v>-0.002170416751245257</v>
      </c>
      <c r="D205" s="93" t="n">
        <v>0</v>
      </c>
      <c r="E205" s="93" t="n">
        <v>204</v>
      </c>
      <c r="F205" s="93" t="n">
        <v>0.4746233155446154</v>
      </c>
      <c r="G205" s="94" t="n"/>
      <c r="H205" s="93" t="n"/>
      <c r="I205" s="93" t="n"/>
      <c r="J205" s="93" t="n"/>
      <c r="K205" s="93" t="n"/>
      <c r="L205" s="93" t="n"/>
      <c r="M205" s="93" t="n"/>
    </row>
    <row r="206">
      <c r="A206" s="99" t="inlineStr">
        <is>
          <t>New Orleans</t>
        </is>
      </c>
      <c r="B206" s="100" t="n">
        <v>362701</v>
      </c>
      <c r="C206" s="99" t="n">
        <v>-0.01348096115020841</v>
      </c>
      <c r="D206" s="100" t="n">
        <v>0.02515118441928852</v>
      </c>
      <c r="E206" s="102" t="n">
        <v>205</v>
      </c>
      <c r="F206" s="100" t="n">
        <v>0.4740161679981466</v>
      </c>
      <c r="G206" s="101" t="n"/>
      <c r="H206" s="99" t="n"/>
      <c r="I206" s="100" t="n"/>
      <c r="J206" s="99" t="n"/>
      <c r="K206" s="100" t="n"/>
      <c r="L206" s="102" t="n"/>
      <c r="M206" s="100" t="n"/>
    </row>
    <row r="207">
      <c r="A207" s="102" t="inlineStr">
        <is>
          <t>Volusia County, Florida</t>
        </is>
      </c>
      <c r="B207" s="100" t="n">
        <v>602772</v>
      </c>
      <c r="C207" s="102" t="n">
        <v>0.02115152082223726</v>
      </c>
      <c r="D207" s="100" t="n">
        <v>0.189048370617227</v>
      </c>
      <c r="E207" s="102" t="n">
        <v>206</v>
      </c>
      <c r="F207" s="100" t="n">
        <v>0.473833637986299</v>
      </c>
      <c r="G207" s="101" t="n"/>
      <c r="H207" s="102" t="n"/>
      <c r="I207" s="100" t="n"/>
      <c r="J207" s="102" t="n"/>
      <c r="K207" s="100" t="n"/>
      <c r="L207" s="102" t="n"/>
      <c r="M207" s="100" t="n"/>
    </row>
    <row r="208">
      <c r="A208" s="102" t="inlineStr">
        <is>
          <t>Stark County, Ohio</t>
        </is>
      </c>
      <c r="B208" s="100" t="n">
        <v>374091</v>
      </c>
      <c r="C208" s="102" t="n">
        <v>-0.0003077009333817467</v>
      </c>
      <c r="D208" s="100" t="n">
        <v>0</v>
      </c>
      <c r="E208" s="102" t="n">
        <v>207</v>
      </c>
      <c r="F208" s="100" t="n">
        <v>0.4735222628438238</v>
      </c>
      <c r="G208" s="101" t="n"/>
      <c r="H208" s="102" t="n"/>
      <c r="I208" s="100" t="n"/>
      <c r="J208" s="102" t="n"/>
      <c r="K208" s="100" t="n"/>
      <c r="L208" s="102" t="n"/>
      <c r="M208" s="100" t="n"/>
    </row>
    <row r="209">
      <c r="A209" s="99" t="inlineStr">
        <is>
          <t>Summit County, Ohio</t>
        </is>
      </c>
      <c r="B209" s="100" t="n">
        <v>538370</v>
      </c>
      <c r="C209" s="99" t="n">
        <v>-0.0006784480443098354</v>
      </c>
      <c r="D209" s="100" t="n">
        <v>0.03488656947392572</v>
      </c>
      <c r="E209" s="102" t="n">
        <v>208</v>
      </c>
      <c r="F209" s="100" t="n">
        <v>0.4722160892298778</v>
      </c>
      <c r="G209" s="101" t="n"/>
      <c r="H209" s="99" t="n"/>
      <c r="I209" s="100" t="n"/>
      <c r="J209" s="99" t="n"/>
      <c r="K209" s="100" t="n"/>
      <c r="L209" s="102" t="n"/>
      <c r="M209" s="100" t="n"/>
    </row>
    <row r="210">
      <c r="A210" s="102" t="inlineStr">
        <is>
          <t>Union County, New Jersey</t>
        </is>
      </c>
      <c r="B210" s="100" t="n">
        <v>594160</v>
      </c>
      <c r="C210" s="102" t="n">
        <v>0.00892483614558639</v>
      </c>
      <c r="D210" s="100" t="n">
        <v>0.1112243536993837</v>
      </c>
      <c r="E210" s="102" t="n">
        <v>209</v>
      </c>
      <c r="F210" s="100" t="n">
        <v>0.4705786584505755</v>
      </c>
      <c r="G210" s="101" t="n"/>
      <c r="H210" s="102" t="n"/>
      <c r="I210" s="100" t="n"/>
      <c r="J210" s="102" t="n"/>
      <c r="K210" s="100" t="n"/>
      <c r="L210" s="102" t="n"/>
      <c r="M210" s="100" t="n"/>
    </row>
    <row r="211">
      <c r="A211" s="102" t="inlineStr">
        <is>
          <t>Ocean County, New Jersey</t>
        </is>
      </c>
      <c r="B211" s="100" t="n">
        <v>666434</v>
      </c>
      <c r="C211" s="102" t="n">
        <v>0.01091528672594643</v>
      </c>
      <c r="D211" s="100" t="n">
        <v>0.3195536881250132</v>
      </c>
      <c r="E211" s="102" t="n">
        <v>210</v>
      </c>
      <c r="F211" s="100" t="n">
        <v>0.4686751174867509</v>
      </c>
      <c r="G211" s="101" t="n"/>
      <c r="H211" s="102" t="n"/>
      <c r="I211" s="100" t="n"/>
      <c r="J211" s="102" t="n"/>
      <c r="K211" s="100" t="n"/>
      <c r="L211" s="102" t="n"/>
      <c r="M211" s="100" t="n"/>
    </row>
    <row r="212">
      <c r="A212" s="102" t="inlineStr">
        <is>
          <t>Orange County, New York</t>
        </is>
      </c>
      <c r="B212" s="100" t="n">
        <v>411767</v>
      </c>
      <c r="C212" s="102" t="n">
        <v>0.006714514073671374</v>
      </c>
      <c r="D212" s="100" t="n">
        <v>0.08660346115133609</v>
      </c>
      <c r="E212" s="102" t="n">
        <v>211</v>
      </c>
      <c r="F212" s="100" t="n">
        <v>0.468510307526864</v>
      </c>
      <c r="G212" s="101" t="n"/>
      <c r="H212" s="102" t="n"/>
      <c r="I212" s="100" t="n"/>
      <c r="J212" s="102" t="n"/>
      <c r="K212" s="100" t="n"/>
      <c r="L212" s="102" t="n"/>
      <c r="M212" s="100" t="n"/>
    </row>
    <row r="213">
      <c r="A213" s="102" t="inlineStr">
        <is>
          <t>Tulsa County, Oklahoma</t>
        </is>
      </c>
      <c r="B213" s="100" t="n">
        <v>693514</v>
      </c>
      <c r="C213" s="102" t="n">
        <v>0.008500718643582603</v>
      </c>
      <c r="D213" s="100" t="n">
        <v>0.03272880662822072</v>
      </c>
      <c r="E213" s="102" t="n">
        <v>212</v>
      </c>
      <c r="F213" s="100" t="n">
        <v>0.4680473773661401</v>
      </c>
      <c r="G213" s="101" t="n"/>
      <c r="H213" s="102" t="n"/>
      <c r="I213" s="100" t="n"/>
      <c r="J213" s="102" t="n"/>
      <c r="K213" s="100" t="n"/>
      <c r="L213" s="102" t="n"/>
      <c r="M213" s="100" t="n"/>
    </row>
    <row r="214">
      <c r="A214" s="95" t="inlineStr">
        <is>
          <t>Madison County, Illinois</t>
        </is>
      </c>
      <c r="B214" s="97" t="n">
        <v>263017</v>
      </c>
      <c r="C214" s="95" t="n">
        <v>-0.002570094337137675</v>
      </c>
      <c r="D214" s="97" t="n">
        <v>0.009587764184806035</v>
      </c>
      <c r="E214" s="96" t="n">
        <v>213</v>
      </c>
      <c r="F214" s="97" t="n">
        <v>0.4679974087826134</v>
      </c>
      <c r="G214" s="94" t="n"/>
      <c r="H214" s="95" t="n"/>
      <c r="I214" s="97" t="n"/>
      <c r="J214" s="95" t="n"/>
      <c r="K214" s="97" t="n"/>
      <c r="L214" s="96" t="n"/>
      <c r="M214" s="97" t="n"/>
    </row>
    <row r="215">
      <c r="A215" s="111" t="inlineStr">
        <is>
          <t>Lubbock County, Texas</t>
        </is>
      </c>
      <c r="B215" s="111" t="n">
        <v>327394</v>
      </c>
      <c r="C215" s="111" t="n">
        <v>0.01268012452260984</v>
      </c>
      <c r="D215" s="111" t="n">
        <v>0.06373426940802827</v>
      </c>
      <c r="E215" s="111" t="n">
        <v>214</v>
      </c>
      <c r="F215" s="111" t="n">
        <v>0.4679231290899925</v>
      </c>
      <c r="G215" s="112" t="n"/>
      <c r="H215" s="111" t="n"/>
      <c r="I215" s="111" t="n"/>
      <c r="J215" s="111" t="n"/>
      <c r="K215" s="111" t="n"/>
      <c r="L215" s="111" t="n"/>
      <c r="M215" s="111" t="n"/>
    </row>
    <row r="216">
      <c r="A216" s="95" t="inlineStr">
        <is>
          <t>Calcasieu Parish, Louisiana</t>
        </is>
      </c>
      <c r="B216" s="97" t="n">
        <v>206861</v>
      </c>
      <c r="C216" s="95" t="n">
        <v>-0.01112276147496686</v>
      </c>
      <c r="D216" s="97" t="n">
        <v>0.05264942493379478</v>
      </c>
      <c r="E216" s="95" t="n">
        <v>215</v>
      </c>
      <c r="F216" s="97" t="n">
        <v>0.4667451532686732</v>
      </c>
      <c r="G216" s="94" t="n"/>
      <c r="H216" s="95" t="n"/>
      <c r="I216" s="97" t="n"/>
      <c r="J216" s="95" t="n"/>
      <c r="K216" s="97" t="n"/>
      <c r="L216" s="95" t="n"/>
      <c r="M216" s="97" t="n"/>
    </row>
    <row r="217">
      <c r="A217" s="93" t="inlineStr">
        <is>
          <t>Sussex County, Delaware</t>
        </is>
      </c>
      <c r="B217" s="93" t="n">
        <v>271134</v>
      </c>
      <c r="C217" s="93" t="n">
        <v>0.03402415211980524</v>
      </c>
      <c r="D217" s="93" t="n">
        <v>0.2563261633220348</v>
      </c>
      <c r="E217" s="93" t="n">
        <v>216</v>
      </c>
      <c r="F217" s="93" t="n">
        <v>0.4663549492136037</v>
      </c>
      <c r="G217" s="94" t="n"/>
      <c r="H217" s="93" t="n"/>
      <c r="I217" s="93" t="n"/>
      <c r="J217" s="93" t="n"/>
      <c r="K217" s="93" t="n"/>
      <c r="L217" s="93" t="n"/>
      <c r="M217" s="93" t="n"/>
    </row>
    <row r="218">
      <c r="A218" s="93" t="inlineStr">
        <is>
          <t>Beaufort County, South Carolina</t>
        </is>
      </c>
      <c r="B218" s="93" t="n">
        <v>201775</v>
      </c>
      <c r="C218" s="93" t="n">
        <v>0.01856209637489419</v>
      </c>
      <c r="D218" s="93" t="n">
        <v>0.1824781441632059</v>
      </c>
      <c r="E218" s="93" t="n">
        <v>217</v>
      </c>
      <c r="F218" s="93" t="n">
        <v>0.4663106899292153</v>
      </c>
      <c r="G218" s="94" t="n"/>
      <c r="H218" s="93" t="n"/>
      <c r="I218" s="93" t="n"/>
      <c r="J218" s="93" t="n"/>
      <c r="K218" s="93" t="n"/>
      <c r="L218" s="93" t="n"/>
      <c r="M218" s="93" t="n"/>
    </row>
    <row r="219">
      <c r="A219" s="99" t="inlineStr">
        <is>
          <t>Lucas County, Ohio</t>
        </is>
      </c>
      <c r="B219" s="100" t="n">
        <v>426291</v>
      </c>
      <c r="C219" s="99" t="n">
        <v>-0.002656833847796319</v>
      </c>
      <c r="D219" s="100" t="n">
        <v>0.09407171278604318</v>
      </c>
      <c r="E219" s="99" t="n">
        <v>218</v>
      </c>
      <c r="F219" s="100" t="n">
        <v>0.4658279110891019</v>
      </c>
      <c r="G219" s="101" t="n"/>
      <c r="H219" s="99" t="n"/>
      <c r="I219" s="100" t="n"/>
      <c r="J219" s="99" t="n"/>
      <c r="K219" s="100" t="n"/>
      <c r="L219" s="99" t="n"/>
      <c r="M219" s="100" t="n"/>
    </row>
    <row r="220">
      <c r="A220" s="99" t="inlineStr">
        <is>
          <t>Weber County, Utah</t>
        </is>
      </c>
      <c r="B220" s="100" t="n">
        <v>276118</v>
      </c>
      <c r="C220" s="99" t="n">
        <v>0.01246858376964346</v>
      </c>
      <c r="D220" s="100" t="n">
        <v>0.02801454343610705</v>
      </c>
      <c r="E220" s="99" t="n">
        <v>219</v>
      </c>
      <c r="F220" s="100" t="n">
        <v>0.4637000266939652</v>
      </c>
      <c r="G220" s="101" t="n"/>
      <c r="H220" s="99" t="n"/>
      <c r="I220" s="100" t="n"/>
      <c r="J220" s="99" t="n"/>
      <c r="K220" s="100" t="n"/>
      <c r="L220" s="99" t="n"/>
      <c r="M220" s="100" t="n"/>
    </row>
    <row r="221">
      <c r="A221" s="99" t="inlineStr">
        <is>
          <t>Manatee County, Florida</t>
        </is>
      </c>
      <c r="B221" s="100" t="n">
        <v>458352</v>
      </c>
      <c r="C221" s="99" t="n">
        <v>0.0352974275726763</v>
      </c>
      <c r="D221" s="100" t="n">
        <v>0.1946811310003685</v>
      </c>
      <c r="E221" s="99" t="n">
        <v>220</v>
      </c>
      <c r="F221" s="100" t="n">
        <v>0.4630019242737861</v>
      </c>
      <c r="G221" s="101" t="n"/>
      <c r="H221" s="99" t="n"/>
      <c r="I221" s="100" t="n"/>
      <c r="J221" s="99" t="n"/>
      <c r="K221" s="100" t="n"/>
      <c r="L221" s="99" t="n"/>
      <c r="M221" s="100" t="n"/>
    </row>
    <row r="222">
      <c r="A222" s="99" t="inlineStr">
        <is>
          <t>Prince William County, Virginia</t>
        </is>
      </c>
      <c r="B222" s="100" t="n">
        <v>497003</v>
      </c>
      <c r="C222" s="99" t="n">
        <v>0.00732091711313561</v>
      </c>
      <c r="D222" s="100" t="n">
        <v>0.1005876397576427</v>
      </c>
      <c r="E222" s="99" t="n">
        <v>221</v>
      </c>
      <c r="F222" s="100" t="n">
        <v>0.4622095251023527</v>
      </c>
      <c r="G222" s="101" t="n"/>
      <c r="H222" s="99" t="n"/>
      <c r="I222" s="100" t="n"/>
      <c r="J222" s="99" t="n"/>
      <c r="K222" s="100" t="n"/>
      <c r="L222" s="99" t="n"/>
      <c r="M222" s="100" t="n"/>
    </row>
    <row r="223">
      <c r="A223" s="102" t="inlineStr">
        <is>
          <t>Cumberland County, North Carolina</t>
        </is>
      </c>
      <c r="B223" s="100" t="n">
        <v>338430</v>
      </c>
      <c r="C223" s="102" t="n">
        <v>0.0009156422841382583</v>
      </c>
      <c r="D223" s="100" t="n">
        <v>0.02385410234652308</v>
      </c>
      <c r="E223" s="99" t="n">
        <v>222</v>
      </c>
      <c r="F223" s="100" t="n">
        <v>0.4611425489449248</v>
      </c>
      <c r="G223" s="101" t="n"/>
      <c r="H223" s="102" t="n"/>
      <c r="I223" s="100" t="n"/>
      <c r="J223" s="102" t="n"/>
      <c r="K223" s="100" t="n"/>
      <c r="L223" s="99" t="n"/>
      <c r="M223" s="100" t="n"/>
    </row>
    <row r="224">
      <c r="A224" s="102" t="inlineStr">
        <is>
          <t>Hampden County, Massachusetts</t>
        </is>
      </c>
      <c r="B224" s="100" t="n">
        <v>464151</v>
      </c>
      <c r="C224" s="102" t="n">
        <v>0.0002355978038187331</v>
      </c>
      <c r="D224" s="100" t="n">
        <v>0.2242372309553332</v>
      </c>
      <c r="E224" s="102" t="n">
        <v>223</v>
      </c>
      <c r="F224" s="100" t="n">
        <v>0.4582145723295961</v>
      </c>
      <c r="G224" s="101" t="n"/>
      <c r="H224" s="102" t="n"/>
      <c r="I224" s="100" t="n"/>
      <c r="J224" s="102" t="n"/>
      <c r="K224" s="100" t="n"/>
      <c r="L224" s="102" t="n"/>
      <c r="M224" s="100" t="n"/>
    </row>
    <row r="225">
      <c r="A225" s="103" t="inlineStr">
        <is>
          <t>Burlington County, New Jersey</t>
        </is>
      </c>
      <c r="B225" s="103" t="n">
        <v>475515</v>
      </c>
      <c r="C225" s="103" t="n">
        <v>0.007483852941558695</v>
      </c>
      <c r="D225" s="103" t="n">
        <v>0.2215631423450075</v>
      </c>
      <c r="E225" s="103" t="n">
        <v>224</v>
      </c>
      <c r="F225" s="103" t="n">
        <v>0.4571556621169629</v>
      </c>
      <c r="G225" s="104" t="n"/>
      <c r="H225" s="103" t="n"/>
      <c r="I225" s="103" t="n"/>
      <c r="J225" s="103" t="n"/>
      <c r="K225" s="103" t="n"/>
      <c r="L225" s="103" t="n"/>
      <c r="M225" s="103" t="n"/>
    </row>
    <row r="226">
      <c r="A226" s="95" t="inlineStr">
        <is>
          <t>St. Tammany Parish, Louisiana</t>
        </is>
      </c>
      <c r="B226" s="97" t="n">
        <v>277615</v>
      </c>
      <c r="C226" s="95" t="n">
        <v>0.01189402544083741</v>
      </c>
      <c r="D226" s="97" t="n">
        <v>0.004318417654910303</v>
      </c>
      <c r="E226" s="95" t="n">
        <v>225</v>
      </c>
      <c r="F226" s="97" t="n">
        <v>0.4547207456337545</v>
      </c>
      <c r="G226" s="94" t="n"/>
      <c r="H226" s="95" t="n"/>
      <c r="I226" s="97" t="n"/>
      <c r="J226" s="95" t="n"/>
      <c r="K226" s="97" t="n"/>
      <c r="L226" s="95" t="n"/>
      <c r="M226" s="97" t="n"/>
    </row>
    <row r="227">
      <c r="A227" s="93" t="inlineStr">
        <is>
          <t>Brown County, Wisconsin</t>
        </is>
      </c>
      <c r="B227" s="93" t="n">
        <v>273909</v>
      </c>
      <c r="C227" s="93" t="n">
        <v>0.004594446881762007</v>
      </c>
      <c r="D227" s="93" t="n">
        <v>0.04167719392668134</v>
      </c>
      <c r="E227" s="93" t="n">
        <v>226</v>
      </c>
      <c r="F227" s="93" t="n">
        <v>0.4541276188563928</v>
      </c>
      <c r="G227" s="94" t="n"/>
      <c r="H227" s="93" t="n"/>
      <c r="I227" s="93" t="n"/>
      <c r="J227" s="93" t="n"/>
      <c r="K227" s="93" t="n"/>
      <c r="L227" s="93" t="n"/>
      <c r="M227" s="93" t="n"/>
    </row>
    <row r="228">
      <c r="A228" s="95" t="inlineStr">
        <is>
          <t>Marion County, Florida</t>
        </is>
      </c>
      <c r="B228" s="97" t="n">
        <v>428905</v>
      </c>
      <c r="C228" s="95" t="n">
        <v>0.03407013648983744</v>
      </c>
      <c r="D228" s="97" t="n">
        <v>0.3267553551027648</v>
      </c>
      <c r="E228" s="95" t="n">
        <v>227</v>
      </c>
      <c r="F228" s="97" t="n">
        <v>0.4538231037078016</v>
      </c>
      <c r="G228" s="94" t="n"/>
      <c r="H228" s="95" t="n"/>
      <c r="I228" s="97" t="n"/>
      <c r="J228" s="95" t="n"/>
      <c r="K228" s="97" t="n"/>
      <c r="L228" s="95" t="n"/>
      <c r="M228" s="97" t="n"/>
    </row>
    <row r="229">
      <c r="A229" s="93" t="inlineStr">
        <is>
          <t>Ada County, Idaho</t>
        </is>
      </c>
      <c r="B229" s="93" t="n">
        <v>535799</v>
      </c>
      <c r="C229" s="93" t="n">
        <v>0.01881292632364776</v>
      </c>
      <c r="D229" s="93" t="n">
        <v>0.2135916787101666</v>
      </c>
      <c r="E229" s="93" t="n">
        <v>228</v>
      </c>
      <c r="F229" s="93" t="n">
        <v>0.4525967716341321</v>
      </c>
      <c r="G229" s="94" t="n"/>
      <c r="H229" s="93" t="n"/>
      <c r="I229" s="93" t="n"/>
      <c r="J229" s="93" t="n"/>
      <c r="K229" s="93" t="n"/>
      <c r="L229" s="93" t="n"/>
      <c r="M229" s="93" t="n"/>
    </row>
    <row r="230">
      <c r="A230" s="93" t="inlineStr">
        <is>
          <t>Caddo Parish, Louisiana</t>
        </is>
      </c>
      <c r="B230" s="93" t="n">
        <v>224893</v>
      </c>
      <c r="C230" s="93" t="n">
        <v>-0.01268297933409874</v>
      </c>
      <c r="D230" s="93" t="n">
        <v>0.02153098918571575</v>
      </c>
      <c r="E230" s="93" t="n">
        <v>229</v>
      </c>
      <c r="F230" s="93" t="n">
        <v>0.4523436187515718</v>
      </c>
      <c r="G230" s="94" t="n"/>
      <c r="H230" s="93" t="n"/>
      <c r="I230" s="93" t="n"/>
      <c r="J230" s="93" t="n"/>
      <c r="K230" s="93" t="n"/>
      <c r="L230" s="93" t="n"/>
      <c r="M230" s="93" t="n"/>
    </row>
    <row r="231">
      <c r="A231" s="93" t="inlineStr">
        <is>
          <t>Virginia Beach, Virginia</t>
        </is>
      </c>
      <c r="B231" s="93" t="n">
        <v>454808</v>
      </c>
      <c r="C231" s="93" t="n">
        <v>-0.002645902630783187</v>
      </c>
      <c r="D231" s="93" t="n">
        <v>0.05090604149626383</v>
      </c>
      <c r="E231" s="93" t="n">
        <v>230</v>
      </c>
      <c r="F231" s="93" t="n">
        <v>0.4509186809648077</v>
      </c>
      <c r="G231" s="94" t="n"/>
      <c r="H231" s="93" t="n"/>
      <c r="I231" s="93" t="n"/>
      <c r="J231" s="93" t="n"/>
      <c r="K231" s="93" t="n"/>
      <c r="L231" s="93" t="n"/>
      <c r="M231" s="93" t="n"/>
    </row>
    <row r="232">
      <c r="A232" s="99" t="inlineStr">
        <is>
          <t>Gloucester County, New Jersey</t>
        </is>
      </c>
      <c r="B232" s="106" t="n">
        <v>311783</v>
      </c>
      <c r="C232" s="99" t="n">
        <v>0.007608031066677683</v>
      </c>
      <c r="D232" s="106" t="n">
        <v>0.2507720894310541</v>
      </c>
      <c r="E232" s="99" t="n">
        <v>231</v>
      </c>
      <c r="F232" s="106" t="n">
        <v>0.4505714417315486</v>
      </c>
      <c r="G232" s="101" t="n"/>
      <c r="H232" s="99" t="n"/>
      <c r="I232" s="106" t="n"/>
      <c r="J232" s="99" t="n"/>
      <c r="K232" s="106" t="n"/>
      <c r="L232" s="99" t="n"/>
      <c r="M232" s="106" t="n"/>
    </row>
    <row r="233">
      <c r="A233" s="99" t="inlineStr">
        <is>
          <t>Muscogee County, Georgia</t>
        </is>
      </c>
      <c r="B233" s="106" t="n">
        <v>201830</v>
      </c>
      <c r="C233" s="99" t="n">
        <v>-0.006261623553848755</v>
      </c>
      <c r="D233" s="106" t="n">
        <v>0</v>
      </c>
      <c r="E233" s="102" t="n">
        <v>232</v>
      </c>
      <c r="F233" s="106" t="n">
        <v>0.450200194742667</v>
      </c>
      <c r="G233" s="101" t="n"/>
      <c r="H233" s="99" t="n"/>
      <c r="I233" s="106" t="n"/>
      <c r="J233" s="99" t="n"/>
      <c r="K233" s="106" t="n"/>
      <c r="L233" s="102" t="n"/>
      <c r="M233" s="106" t="n"/>
    </row>
    <row r="234">
      <c r="A234" s="99" t="inlineStr">
        <is>
          <t>Jefferson County, Missouri</t>
        </is>
      </c>
      <c r="B234" s="106" t="n">
        <v>231888</v>
      </c>
      <c r="C234" s="99" t="n">
        <v>0.005442900765376939</v>
      </c>
      <c r="D234" s="106" t="n">
        <v>0.06847431395807184</v>
      </c>
      <c r="E234" s="102" t="n">
        <v>233</v>
      </c>
      <c r="F234" s="106" t="n">
        <v>0.4498910097226518</v>
      </c>
      <c r="G234" s="101" t="n"/>
      <c r="H234" s="99" t="n"/>
      <c r="I234" s="106" t="n"/>
      <c r="J234" s="99" t="n"/>
      <c r="K234" s="106" t="n"/>
      <c r="L234" s="102" t="n"/>
      <c r="M234" s="106" t="n"/>
    </row>
    <row r="235">
      <c r="A235" s="106" t="inlineStr">
        <is>
          <t>Jefferson County, Colorado</t>
        </is>
      </c>
      <c r="B235" s="106" t="n">
        <v>578533</v>
      </c>
      <c r="C235" s="106" t="n">
        <v>-0.001987417026625215</v>
      </c>
      <c r="D235" s="106" t="n">
        <v>0.03267720389109774</v>
      </c>
      <c r="E235" s="106" t="n">
        <v>234</v>
      </c>
      <c r="F235" s="106" t="n">
        <v>0.4493698523242931</v>
      </c>
      <c r="G235" s="101" t="n"/>
      <c r="H235" s="106" t="n"/>
      <c r="I235" s="106" t="n"/>
      <c r="J235" s="106" t="n"/>
      <c r="K235" s="106" t="n"/>
      <c r="L235" s="106" t="n"/>
      <c r="M235" s="106" t="n"/>
    </row>
    <row r="236">
      <c r="A236" s="93" t="inlineStr">
        <is>
          <t>Saratoga County, New York</t>
        </is>
      </c>
      <c r="B236" s="93" t="n">
        <v>240360</v>
      </c>
      <c r="C236" s="93" t="n">
        <v>0.004822718193807753</v>
      </c>
      <c r="D236" s="93" t="n">
        <v>0.20123212736521</v>
      </c>
      <c r="E236" s="93" t="n">
        <v>235</v>
      </c>
      <c r="F236" s="93" t="n">
        <v>0.4483223704163993</v>
      </c>
      <c r="G236" s="94" t="n"/>
      <c r="H236" s="93" t="n"/>
      <c r="I236" s="93" t="n"/>
      <c r="J236" s="93" t="n"/>
      <c r="K236" s="93" t="n"/>
      <c r="L236" s="93" t="n"/>
      <c r="M236" s="93" t="n"/>
    </row>
    <row r="237">
      <c r="A237" s="102" t="inlineStr">
        <is>
          <t>Mohave County, Arizona</t>
        </is>
      </c>
      <c r="B237" s="100" t="n">
        <v>226479</v>
      </c>
      <c r="C237" s="102" t="n">
        <v>0.01436455575632783</v>
      </c>
      <c r="D237" s="100" t="n">
        <v>0.04724796654321206</v>
      </c>
      <c r="E237" s="99" t="n">
        <v>236</v>
      </c>
      <c r="F237" s="100" t="n">
        <v>0.4401200807362301</v>
      </c>
      <c r="G237" s="101" t="n"/>
      <c r="H237" s="102" t="n"/>
      <c r="I237" s="100" t="n"/>
      <c r="J237" s="102" t="n"/>
      <c r="K237" s="100" t="n"/>
      <c r="L237" s="99" t="n"/>
      <c r="M237" s="100" t="n"/>
    </row>
    <row r="238">
      <c r="A238" s="102" t="inlineStr">
        <is>
          <t>Philadelphia County, Pennsylvania</t>
        </is>
      </c>
      <c r="B238" s="100" t="n">
        <v>1573916</v>
      </c>
      <c r="C238" s="102" t="n">
        <v>-0.004196683133556724</v>
      </c>
      <c r="D238" s="100" t="n">
        <v>0.1269833622919424</v>
      </c>
      <c r="E238" s="102" t="n">
        <v>237</v>
      </c>
      <c r="F238" s="100" t="n">
        <v>0.4370982767277828</v>
      </c>
      <c r="G238" s="101" t="n"/>
      <c r="H238" s="102" t="n"/>
      <c r="I238" s="100" t="n"/>
      <c r="J238" s="102" t="n"/>
      <c r="K238" s="100" t="n"/>
      <c r="L238" s="102" t="n"/>
      <c r="M238" s="100" t="n"/>
    </row>
    <row r="239">
      <c r="A239" s="99" t="inlineStr">
        <is>
          <t>St. Louis</t>
        </is>
      </c>
      <c r="B239" s="100" t="n">
        <v>279695</v>
      </c>
      <c r="C239" s="99" t="n">
        <v>-0.01716530975808734</v>
      </c>
      <c r="D239" s="100" t="n">
        <v>0</v>
      </c>
      <c r="E239" s="99" t="n">
        <v>238</v>
      </c>
      <c r="F239" s="100" t="n">
        <v>0.4365814393562452</v>
      </c>
      <c r="G239" s="101" t="n"/>
      <c r="H239" s="99" t="n"/>
      <c r="I239" s="100" t="n"/>
      <c r="J239" s="99" t="n"/>
      <c r="K239" s="100" t="n"/>
      <c r="L239" s="99" t="n"/>
      <c r="M239" s="100" t="n"/>
    </row>
    <row r="240">
      <c r="A240" s="102" t="inlineStr">
        <is>
          <t>Harrison County, Mississippi</t>
        </is>
      </c>
      <c r="B240" s="100" t="n">
        <v>213730</v>
      </c>
      <c r="C240" s="102" t="n">
        <v>0.005859889386357651</v>
      </c>
      <c r="D240" s="100" t="n">
        <v>0.01827791816249498</v>
      </c>
      <c r="E240" s="102" t="n">
        <v>239</v>
      </c>
      <c r="F240" s="100" t="n">
        <v>0.4343628954678846</v>
      </c>
      <c r="G240" s="101" t="n"/>
      <c r="H240" s="102" t="n"/>
      <c r="I240" s="100" t="n"/>
      <c r="J240" s="102" t="n"/>
      <c r="K240" s="100" t="n"/>
      <c r="L240" s="102" t="n"/>
      <c r="M240" s="100" t="n"/>
    </row>
    <row r="241">
      <c r="A241" s="102" t="inlineStr">
        <is>
          <t>Brevard County, Florida</t>
        </is>
      </c>
      <c r="B241" s="100" t="n">
        <v>658447</v>
      </c>
      <c r="C241" s="102" t="n">
        <v>0.02039079028633753</v>
      </c>
      <c r="D241" s="100" t="n">
        <v>0.2265399218123407</v>
      </c>
      <c r="E241" s="102" t="n">
        <v>240</v>
      </c>
      <c r="F241" s="100" t="n">
        <v>0.4332148823617506</v>
      </c>
      <c r="G241" s="101" t="n"/>
      <c r="H241" s="102" t="n"/>
      <c r="I241" s="100" t="n"/>
      <c r="J241" s="102" t="n"/>
      <c r="K241" s="100" t="n"/>
      <c r="L241" s="102" t="n"/>
      <c r="M241" s="100" t="n"/>
    </row>
    <row r="242">
      <c r="A242" s="107" t="inlineStr">
        <is>
          <t>Norfolk, Virginia</t>
        </is>
      </c>
      <c r="B242" s="107" t="n">
        <v>231105</v>
      </c>
      <c r="C242" s="107" t="n">
        <v>-0.007051759155302696</v>
      </c>
      <c r="D242" s="107" t="n">
        <v>0.04911901819563676</v>
      </c>
      <c r="E242" s="107" t="n">
        <v>241</v>
      </c>
      <c r="F242" s="90" t="n">
        <v>0.4320416909102687</v>
      </c>
      <c r="G242" s="90" t="n"/>
      <c r="H242" s="90" t="n"/>
      <c r="I242" s="90" t="n"/>
      <c r="J242" s="90" t="n"/>
      <c r="K242" s="90" t="n"/>
      <c r="L242" s="90" t="n"/>
      <c r="M242" s="90" t="n"/>
    </row>
    <row r="243">
      <c r="A243" s="90" t="inlineStr">
        <is>
          <t>Mobile County, Alabama</t>
        </is>
      </c>
      <c r="B243" s="90" t="n">
        <v>412339</v>
      </c>
      <c r="C243" s="90" t="n">
        <v>-0.001248766315403382</v>
      </c>
      <c r="D243" s="90" t="n">
        <v>0.01931953256456568</v>
      </c>
      <c r="E243" s="90" t="n">
        <v>242</v>
      </c>
      <c r="F243" s="91" t="n">
        <v>0.4257108899443595</v>
      </c>
      <c r="G243" s="91" t="n"/>
      <c r="H243" s="91" t="n"/>
      <c r="I243" s="91" t="n"/>
      <c r="J243" s="90" t="n"/>
      <c r="K243" s="90" t="n"/>
      <c r="L243" s="90" t="n"/>
      <c r="M243" s="90" t="n"/>
    </row>
    <row r="244">
      <c r="A244" s="90" t="inlineStr">
        <is>
          <t>York County, Maine</t>
        </is>
      </c>
      <c r="B244" s="90" t="n">
        <v>220143</v>
      </c>
      <c r="C244" s="90" t="n">
        <v>0.009280939212203729</v>
      </c>
      <c r="D244" s="90" t="n">
        <v>0.1402745200053339</v>
      </c>
      <c r="E244" s="90" t="n">
        <v>243</v>
      </c>
      <c r="F244" s="91" t="n">
        <v>0.4202938979651554</v>
      </c>
      <c r="G244" s="91" t="n"/>
      <c r="H244" s="91" t="n"/>
      <c r="I244" s="91" t="n"/>
      <c r="J244" s="90" t="n"/>
      <c r="K244" s="90" t="n"/>
      <c r="L244" s="90" t="n"/>
      <c r="M244" s="90" t="n"/>
    </row>
    <row r="245">
      <c r="A245" s="90" t="inlineStr">
        <is>
          <t>Atlantic County, New Jersey</t>
        </is>
      </c>
      <c r="B245" s="90" t="n">
        <v>279114</v>
      </c>
      <c r="C245" s="90" t="n">
        <v>0.004484018731126639</v>
      </c>
      <c r="D245" s="90" t="n">
        <v>0.2767379311028457</v>
      </c>
      <c r="E245" s="90" t="n">
        <v>244</v>
      </c>
      <c r="F245" s="91" t="n">
        <v>0.419174560755063</v>
      </c>
      <c r="G245" s="91" t="n"/>
      <c r="H245" s="91" t="n"/>
      <c r="I245" s="91" t="n"/>
      <c r="J245" s="90" t="n"/>
      <c r="K245" s="90" t="n"/>
      <c r="L245" s="90" t="n"/>
      <c r="M245" s="90" t="n"/>
    </row>
    <row r="246">
      <c r="A246" s="92" t="inlineStr">
        <is>
          <t>Greater Bridgeport Planning Region</t>
        </is>
      </c>
      <c r="B246" s="92" t="n">
        <v>335666</v>
      </c>
      <c r="C246" s="92" t="n">
        <v>0.008684574764871439</v>
      </c>
      <c r="D246" s="92" t="n">
        <v>0.7817051707798776</v>
      </c>
      <c r="E246" s="92" t="n">
        <v>245</v>
      </c>
      <c r="F246" s="92" t="n">
        <v>0.4109515491882332</v>
      </c>
      <c r="H246" s="92" t="n"/>
      <c r="I246" s="92" t="n"/>
      <c r="J246" s="92" t="n"/>
      <c r="K246" s="92" t="n"/>
      <c r="L246" s="92" t="n"/>
      <c r="M246" s="92" t="n"/>
    </row>
    <row r="247">
      <c r="A247" s="102" t="inlineStr">
        <is>
          <t>Baldwin County, Alabama</t>
        </is>
      </c>
      <c r="B247" s="100" t="n">
        <v>261608</v>
      </c>
      <c r="C247" s="102" t="n">
        <v>0.03040163948483134</v>
      </c>
      <c r="D247" s="100" t="n">
        <v>0.04542050660551827</v>
      </c>
      <c r="E247" s="102" t="n">
        <v>246</v>
      </c>
      <c r="F247" s="100" t="n">
        <v>0.4071222192104784</v>
      </c>
      <c r="G247" s="101" t="n"/>
      <c r="H247" s="102" t="n"/>
      <c r="I247" s="100" t="n"/>
      <c r="J247" s="102" t="n"/>
      <c r="K247" s="100" t="n"/>
      <c r="L247" s="102" t="n"/>
      <c r="M247" s="100" t="n"/>
    </row>
    <row r="248">
      <c r="A248" s="99" t="n"/>
      <c r="B248" s="100" t="n"/>
      <c r="C248" s="99" t="n"/>
      <c r="D248" s="100" t="n"/>
      <c r="E248" s="102" t="n"/>
      <c r="F248" s="100" t="n"/>
      <c r="G248" s="101" t="n"/>
      <c r="H248" s="99" t="n"/>
      <c r="I248" s="100" t="n"/>
      <c r="J248" s="99" t="n"/>
      <c r="K248" s="100" t="n"/>
      <c r="L248" s="102" t="n"/>
      <c r="M248" s="100" t="n"/>
    </row>
    <row r="249">
      <c r="A249" s="102" t="n"/>
      <c r="B249" s="100" t="n"/>
      <c r="C249" s="102" t="n"/>
      <c r="D249" s="100" t="n"/>
      <c r="E249" s="102" t="n"/>
      <c r="F249" s="100" t="n"/>
      <c r="G249" s="101" t="n"/>
      <c r="H249" s="102" t="n"/>
      <c r="I249" s="100" t="n"/>
      <c r="J249" s="102" t="n"/>
      <c r="K249" s="100" t="n"/>
      <c r="L249" s="102" t="n"/>
      <c r="M249" s="100" t="n"/>
    </row>
    <row r="250">
      <c r="A250" s="102" t="n"/>
      <c r="B250" s="100" t="n"/>
      <c r="C250" s="102" t="n"/>
      <c r="D250" s="100" t="n"/>
      <c r="E250" s="102" t="n"/>
      <c r="F250" s="100" t="n"/>
      <c r="G250" s="101" t="n"/>
      <c r="H250" s="102" t="n"/>
      <c r="I250" s="100" t="n"/>
      <c r="J250" s="102" t="n"/>
      <c r="K250" s="100" t="n"/>
      <c r="L250" s="102" t="n"/>
      <c r="M250" s="100" t="n"/>
    </row>
    <row r="251">
      <c r="A251" s="102" t="n"/>
      <c r="B251" s="100" t="n"/>
      <c r="C251" s="102" t="n"/>
      <c r="D251" s="100" t="n"/>
      <c r="E251" s="102" t="n"/>
      <c r="F251" s="100" t="n"/>
      <c r="G251" s="101" t="n"/>
      <c r="H251" s="102" t="n"/>
      <c r="I251" s="100" t="n"/>
      <c r="J251" s="102" t="n"/>
      <c r="K251" s="100" t="n"/>
      <c r="L251" s="102" t="n"/>
      <c r="M251" s="100" t="n"/>
    </row>
    <row r="252">
      <c r="A252" s="102" t="n"/>
      <c r="B252" s="100" t="n"/>
      <c r="C252" s="102" t="n"/>
      <c r="D252" s="100" t="n"/>
      <c r="E252" s="102" t="n"/>
      <c r="F252" s="100" t="n"/>
      <c r="G252" s="101" t="n"/>
      <c r="H252" s="102" t="n"/>
      <c r="I252" s="100" t="n"/>
      <c r="J252" s="102" t="n"/>
      <c r="K252" s="100" t="n"/>
      <c r="L252" s="102" t="n"/>
      <c r="M252" s="100" t="n"/>
    </row>
    <row r="253">
      <c r="A253" s="102" t="n"/>
      <c r="B253" s="100" t="n"/>
      <c r="C253" s="102" t="n"/>
      <c r="D253" s="100" t="n"/>
      <c r="E253" s="102" t="n"/>
      <c r="F253" s="100" t="n"/>
      <c r="G253" s="101" t="n"/>
      <c r="H253" s="102" t="n"/>
      <c r="I253" s="100" t="n"/>
      <c r="J253" s="102" t="n"/>
      <c r="K253" s="100" t="n"/>
      <c r="L253" s="102" t="n"/>
      <c r="M253" s="100" t="n"/>
    </row>
    <row r="254">
      <c r="A254" s="99" t="n"/>
      <c r="B254" s="100" t="n"/>
      <c r="C254" s="99" t="n"/>
      <c r="D254" s="100" t="n"/>
      <c r="E254" s="99" t="n"/>
      <c r="F254" s="100" t="n"/>
      <c r="G254" s="101" t="n"/>
      <c r="H254" s="99" t="n"/>
      <c r="I254" s="100" t="n"/>
      <c r="J254" s="99" t="n"/>
      <c r="K254" s="100" t="n"/>
      <c r="L254" s="99" t="n"/>
      <c r="M254" s="100" t="n"/>
    </row>
    <row r="255">
      <c r="A255" s="102" t="n"/>
      <c r="B255" s="100" t="n"/>
      <c r="C255" s="102" t="n"/>
      <c r="D255" s="100" t="n"/>
      <c r="E255" s="102" t="n"/>
      <c r="F255" s="100" t="n"/>
      <c r="G255" s="101" t="n"/>
      <c r="H255" s="102" t="n"/>
      <c r="I255" s="100" t="n"/>
      <c r="J255" s="102" t="n"/>
      <c r="K255" s="100" t="n"/>
      <c r="L255" s="102" t="n"/>
      <c r="M255" s="100" t="n"/>
    </row>
    <row r="256">
      <c r="A256" s="99" t="n"/>
      <c r="B256" s="100" t="n"/>
      <c r="C256" s="99" t="n"/>
      <c r="D256" s="100" t="n"/>
      <c r="E256" s="102" t="n"/>
      <c r="F256" s="100" t="n"/>
      <c r="G256" s="101" t="n"/>
      <c r="H256" s="99" t="n"/>
      <c r="I256" s="100" t="n"/>
      <c r="J256" s="99" t="n"/>
      <c r="K256" s="100" t="n"/>
      <c r="L256" s="102" t="n"/>
      <c r="M256" s="100" t="n"/>
    </row>
    <row r="257">
      <c r="A257" s="102" t="n"/>
      <c r="B257" s="100" t="n"/>
      <c r="C257" s="102" t="n"/>
      <c r="D257" s="100" t="n"/>
      <c r="E257" s="102" t="n"/>
      <c r="F257" s="100" t="n"/>
      <c r="G257" s="101" t="n"/>
      <c r="H257" s="102" t="n"/>
      <c r="I257" s="100" t="n"/>
      <c r="J257" s="102" t="n"/>
      <c r="K257" s="100" t="n"/>
      <c r="L257" s="102" t="n"/>
      <c r="M257" s="100" t="n"/>
    </row>
    <row r="258">
      <c r="A258" s="102" t="n"/>
      <c r="B258" s="100" t="n"/>
      <c r="C258" s="102" t="n"/>
      <c r="D258" s="100" t="n"/>
      <c r="E258" s="102" t="n"/>
      <c r="F258" s="100" t="n"/>
      <c r="G258" s="101" t="n"/>
      <c r="H258" s="102" t="n"/>
      <c r="I258" s="100" t="n"/>
      <c r="J258" s="102" t="n"/>
      <c r="K258" s="100" t="n"/>
      <c r="L258" s="102" t="n"/>
      <c r="M258" s="100" t="n"/>
    </row>
    <row r="259">
      <c r="A259" s="102" t="n"/>
      <c r="B259" s="100" t="n"/>
      <c r="C259" s="102" t="n"/>
      <c r="D259" s="100" t="n"/>
      <c r="E259" s="102" t="n"/>
      <c r="F259" s="100" t="n"/>
      <c r="G259" s="101" t="n"/>
      <c r="H259" s="102" t="n"/>
      <c r="I259" s="100" t="n"/>
      <c r="J259" s="102" t="n"/>
      <c r="K259" s="100" t="n"/>
      <c r="L259" s="102" t="n"/>
      <c r="M259" s="100" t="n"/>
    </row>
    <row r="260">
      <c r="A260" s="99" t="n"/>
      <c r="B260" s="100" t="n"/>
      <c r="C260" s="99" t="n"/>
      <c r="D260" s="100" t="n"/>
      <c r="E260" s="102" t="n"/>
      <c r="F260" s="100" t="n"/>
      <c r="G260" s="101" t="n"/>
      <c r="H260" s="99" t="n"/>
      <c r="I260" s="100" t="n"/>
      <c r="J260" s="99" t="n"/>
      <c r="K260" s="100" t="n"/>
      <c r="L260" s="102" t="n"/>
      <c r="M260" s="100" t="n"/>
    </row>
    <row r="261">
      <c r="A261" s="102" t="n"/>
      <c r="B261" s="100" t="n"/>
      <c r="C261" s="102" t="n"/>
      <c r="D261" s="100" t="n"/>
      <c r="E261" s="102" t="n"/>
      <c r="F261" s="100" t="n"/>
      <c r="G261" s="101" t="n"/>
      <c r="H261" s="102" t="n"/>
      <c r="I261" s="100" t="n"/>
      <c r="J261" s="102" t="n"/>
      <c r="K261" s="100" t="n"/>
      <c r="L261" s="102" t="n"/>
      <c r="M261" s="100" t="n"/>
    </row>
    <row r="262">
      <c r="A262" s="102" t="n"/>
      <c r="B262" s="100" t="n"/>
      <c r="C262" s="102" t="n"/>
      <c r="D262" s="100" t="n"/>
      <c r="E262" s="99" t="n"/>
      <c r="F262" s="100" t="n"/>
      <c r="G262" s="101" t="n"/>
      <c r="H262" s="102" t="n"/>
      <c r="I262" s="100" t="n"/>
      <c r="J262" s="102" t="n"/>
      <c r="K262" s="100" t="n"/>
      <c r="L262" s="99" t="n"/>
      <c r="M262" s="100" t="n"/>
    </row>
    <row r="263">
      <c r="A263" s="102" t="n"/>
      <c r="B263" s="100" t="n"/>
      <c r="C263" s="102" t="n"/>
      <c r="D263" s="100" t="n"/>
      <c r="E263" s="102" t="n"/>
      <c r="F263" s="100" t="n"/>
      <c r="G263" s="101" t="n"/>
      <c r="H263" s="102" t="n"/>
      <c r="I263" s="100" t="n"/>
      <c r="J263" s="102" t="n"/>
      <c r="K263" s="100" t="n"/>
      <c r="L263" s="102" t="n"/>
      <c r="M263" s="100" t="n"/>
    </row>
    <row r="264">
      <c r="A264" s="95" t="n"/>
      <c r="B264" s="97" t="n"/>
      <c r="C264" s="95" t="n"/>
      <c r="D264" s="97" t="n"/>
      <c r="E264" s="95" t="n"/>
      <c r="F264" s="97" t="n"/>
      <c r="G264" s="94" t="n"/>
      <c r="H264" s="95" t="n"/>
      <c r="I264" s="97" t="n"/>
      <c r="J264" s="95" t="n"/>
      <c r="K264" s="97" t="n"/>
      <c r="L264" s="95" t="n"/>
      <c r="M264" s="97" t="n"/>
    </row>
    <row r="265">
      <c r="A265" s="93" t="n"/>
      <c r="B265" s="93" t="n"/>
      <c r="C265" s="93" t="n"/>
      <c r="D265" s="93" t="n"/>
      <c r="E265" s="93" t="n"/>
      <c r="F265" s="93" t="n"/>
      <c r="G265" s="94" t="n"/>
      <c r="H265" s="93" t="n"/>
      <c r="I265" s="93" t="n"/>
      <c r="J265" s="93" t="n"/>
      <c r="K265" s="93" t="n"/>
      <c r="L265" s="93" t="n"/>
      <c r="M265" s="93" t="n"/>
    </row>
    <row r="266">
      <c r="A266" s="93" t="n"/>
      <c r="B266" s="93" t="n"/>
      <c r="C266" s="93" t="n"/>
      <c r="D266" s="93" t="n"/>
      <c r="E266" s="93" t="n"/>
      <c r="F266" s="93" t="n"/>
      <c r="G266" s="94" t="n"/>
      <c r="H266" s="93" t="n"/>
      <c r="I266" s="93" t="n"/>
      <c r="J266" s="93" t="n"/>
      <c r="K266" s="93" t="n"/>
      <c r="L266" s="93" t="n"/>
      <c r="M266" s="93" t="n"/>
    </row>
    <row r="267">
      <c r="A267" s="99" t="n"/>
      <c r="B267" s="100" t="n"/>
      <c r="C267" s="99" t="n"/>
      <c r="D267" s="100" t="n"/>
      <c r="E267" s="99" t="n"/>
      <c r="F267" s="100" t="n"/>
      <c r="G267" s="101" t="n"/>
      <c r="H267" s="99" t="n"/>
      <c r="I267" s="100" t="n"/>
      <c r="J267" s="99" t="n"/>
      <c r="K267" s="100" t="n"/>
      <c r="L267" s="99" t="n"/>
      <c r="M267" s="100" t="n"/>
    </row>
    <row r="268">
      <c r="A268" s="102" t="n"/>
      <c r="B268" s="100" t="n"/>
      <c r="C268" s="102" t="n"/>
      <c r="D268" s="100" t="n"/>
      <c r="E268" s="102" t="n"/>
      <c r="F268" s="100" t="n"/>
      <c r="G268" s="101" t="n"/>
      <c r="H268" s="102" t="n"/>
      <c r="I268" s="100" t="n"/>
      <c r="J268" s="102" t="n"/>
      <c r="K268" s="100" t="n"/>
      <c r="L268" s="102" t="n"/>
      <c r="M268" s="100" t="n"/>
    </row>
    <row r="269">
      <c r="A269" s="102" t="n"/>
      <c r="B269" s="100" t="n"/>
      <c r="C269" s="102" t="n"/>
      <c r="D269" s="100" t="n"/>
      <c r="E269" s="102" t="n"/>
      <c r="F269" s="100" t="n"/>
      <c r="G269" s="101" t="n"/>
      <c r="H269" s="102" t="n"/>
      <c r="I269" s="100" t="n"/>
      <c r="J269" s="102" t="n"/>
      <c r="K269" s="100" t="n"/>
      <c r="L269" s="102" t="n"/>
      <c r="M269" s="100" t="n"/>
    </row>
    <row r="270">
      <c r="A270" s="102" t="n"/>
      <c r="B270" s="100" t="n"/>
      <c r="C270" s="102" t="n"/>
      <c r="D270" s="100" t="n"/>
      <c r="E270" s="102" t="n"/>
      <c r="F270" s="100" t="n"/>
      <c r="G270" s="101" t="n"/>
      <c r="H270" s="102" t="n"/>
      <c r="I270" s="100" t="n"/>
      <c r="J270" s="102" t="n"/>
      <c r="K270" s="100" t="n"/>
      <c r="L270" s="102" t="n"/>
      <c r="M270" s="100" t="n"/>
    </row>
    <row r="271">
      <c r="A271" s="95" t="n"/>
      <c r="B271" s="97" t="n"/>
      <c r="C271" s="95" t="n"/>
      <c r="D271" s="97" t="n"/>
      <c r="E271" s="95" t="n"/>
      <c r="F271" s="97" t="n"/>
      <c r="G271" s="94" t="n"/>
      <c r="H271" s="95" t="n"/>
      <c r="I271" s="97" t="n"/>
      <c r="J271" s="95" t="n"/>
      <c r="K271" s="97" t="n"/>
      <c r="L271" s="95" t="n"/>
      <c r="M271" s="97" t="n"/>
    </row>
    <row r="272">
      <c r="A272" s="93" t="n"/>
      <c r="B272" s="93" t="n"/>
      <c r="C272" s="93" t="n"/>
      <c r="D272" s="93" t="n"/>
      <c r="E272" s="93" t="n"/>
      <c r="F272" s="93" t="n"/>
      <c r="G272" s="94" t="n"/>
      <c r="H272" s="93" t="n"/>
      <c r="I272" s="93" t="n"/>
      <c r="J272" s="93" t="n"/>
      <c r="K272" s="93" t="n"/>
      <c r="L272" s="93" t="n"/>
      <c r="M272" s="93" t="n"/>
    </row>
    <row r="273">
      <c r="A273" s="95" t="n"/>
      <c r="B273" s="97" t="n"/>
      <c r="C273" s="95" t="n"/>
      <c r="D273" s="97" t="n"/>
      <c r="E273" s="95" t="n"/>
      <c r="F273" s="97" t="n"/>
      <c r="G273" s="94" t="n"/>
      <c r="H273" s="95" t="n"/>
      <c r="I273" s="97" t="n"/>
      <c r="J273" s="95" t="n"/>
      <c r="K273" s="97" t="n"/>
      <c r="L273" s="95" t="n"/>
      <c r="M273" s="97" t="n"/>
    </row>
    <row r="274">
      <c r="A274" s="93" t="n"/>
      <c r="B274" s="93" t="n"/>
      <c r="C274" s="93" t="n"/>
      <c r="D274" s="93" t="n"/>
      <c r="E274" s="93" t="n"/>
      <c r="F274" s="93" t="n"/>
      <c r="G274" s="94" t="n"/>
      <c r="H274" s="93" t="n"/>
      <c r="I274" s="93" t="n"/>
      <c r="J274" s="93" t="n"/>
      <c r="K274" s="93" t="n"/>
      <c r="L274" s="93" t="n"/>
      <c r="M274" s="93" t="n"/>
    </row>
    <row r="275">
      <c r="A275" s="93" t="n"/>
      <c r="B275" s="93" t="n"/>
      <c r="C275" s="93" t="n"/>
      <c r="D275" s="93" t="n"/>
      <c r="E275" s="93" t="n"/>
      <c r="F275" s="93" t="n"/>
      <c r="G275" s="94" t="n"/>
      <c r="H275" s="93" t="n"/>
      <c r="I275" s="93" t="n"/>
      <c r="J275" s="93" t="n"/>
      <c r="K275" s="93" t="n"/>
      <c r="L275" s="93" t="n"/>
      <c r="M275" s="93" t="n"/>
    </row>
    <row r="276">
      <c r="A276" s="102" t="n"/>
      <c r="B276" s="100" t="n"/>
      <c r="C276" s="102" t="n"/>
      <c r="D276" s="100" t="n"/>
      <c r="E276" s="102" t="n"/>
      <c r="F276" s="100" t="n"/>
      <c r="G276" s="101" t="n"/>
      <c r="H276" s="102" t="n"/>
      <c r="I276" s="100" t="n"/>
      <c r="J276" s="102" t="n"/>
      <c r="K276" s="100" t="n"/>
      <c r="L276" s="102" t="n"/>
      <c r="M276" s="100" t="n"/>
    </row>
    <row r="277">
      <c r="A277" s="102" t="n"/>
      <c r="B277" s="100" t="n"/>
      <c r="C277" s="102" t="n"/>
      <c r="D277" s="100" t="n"/>
      <c r="E277" s="102" t="n"/>
      <c r="F277" s="100" t="n"/>
      <c r="G277" s="101" t="n"/>
      <c r="H277" s="102" t="n"/>
      <c r="I277" s="100" t="n"/>
      <c r="J277" s="102" t="n"/>
      <c r="K277" s="100" t="n"/>
      <c r="L277" s="102" t="n"/>
      <c r="M277" s="100" t="n"/>
    </row>
    <row r="278">
      <c r="A278" s="102" t="n"/>
      <c r="B278" s="100" t="n"/>
      <c r="C278" s="102" t="n"/>
      <c r="D278" s="100" t="n"/>
      <c r="E278" s="102" t="n"/>
      <c r="F278" s="100" t="n"/>
      <c r="G278" s="101" t="n"/>
      <c r="H278" s="102" t="n"/>
      <c r="I278" s="100" t="n"/>
      <c r="J278" s="102" t="n"/>
      <c r="K278" s="100" t="n"/>
      <c r="L278" s="102" t="n"/>
      <c r="M278" s="100" t="n"/>
    </row>
    <row r="279">
      <c r="A279" s="99" t="n"/>
      <c r="B279" s="100" t="n"/>
      <c r="C279" s="99" t="n"/>
      <c r="D279" s="100" t="n"/>
      <c r="E279" s="102" t="n"/>
      <c r="F279" s="100" t="n"/>
      <c r="G279" s="101" t="n"/>
      <c r="H279" s="99" t="n"/>
      <c r="I279" s="100" t="n"/>
      <c r="J279" s="99" t="n"/>
      <c r="K279" s="100" t="n"/>
      <c r="L279" s="102" t="n"/>
      <c r="M279" s="100" t="n"/>
    </row>
    <row r="280">
      <c r="A280" s="102" t="n"/>
      <c r="B280" s="100" t="n"/>
      <c r="C280" s="102" t="n"/>
      <c r="D280" s="100" t="n"/>
      <c r="E280" s="102" t="n"/>
      <c r="F280" s="100" t="n"/>
      <c r="G280" s="101" t="n"/>
      <c r="H280" s="102" t="n"/>
      <c r="I280" s="100" t="n"/>
      <c r="J280" s="102" t="n"/>
      <c r="K280" s="100" t="n"/>
      <c r="L280" s="102" t="n"/>
      <c r="M280" s="100" t="n"/>
    </row>
    <row r="281">
      <c r="A281" s="102" t="n"/>
      <c r="B281" s="100" t="n"/>
      <c r="C281" s="102" t="n"/>
      <c r="D281" s="100" t="n"/>
      <c r="E281" s="102" t="n"/>
      <c r="F281" s="100" t="n"/>
      <c r="G281" s="101" t="n"/>
      <c r="H281" s="102" t="n"/>
      <c r="I281" s="100" t="n"/>
      <c r="J281" s="102" t="n"/>
      <c r="K281" s="100" t="n"/>
      <c r="L281" s="102" t="n"/>
      <c r="M281" s="100" t="n"/>
    </row>
    <row r="282">
      <c r="A282" s="102" t="n"/>
      <c r="B282" s="100" t="n"/>
      <c r="C282" s="102" t="n"/>
      <c r="D282" s="100" t="n"/>
      <c r="E282" s="102" t="n"/>
      <c r="F282" s="100" t="n"/>
      <c r="G282" s="101" t="n"/>
      <c r="H282" s="102" t="n"/>
      <c r="I282" s="100" t="n"/>
      <c r="J282" s="102" t="n"/>
      <c r="K282" s="100" t="n"/>
      <c r="L282" s="102" t="n"/>
      <c r="M282" s="100" t="n"/>
    </row>
    <row r="283">
      <c r="A283" s="102" t="n"/>
      <c r="B283" s="100" t="n"/>
      <c r="C283" s="102" t="n"/>
      <c r="D283" s="100" t="n"/>
      <c r="E283" s="102" t="n"/>
      <c r="F283" s="100" t="n"/>
      <c r="G283" s="101" t="n"/>
      <c r="H283" s="102" t="n"/>
      <c r="I283" s="100" t="n"/>
      <c r="J283" s="102" t="n"/>
      <c r="K283" s="100" t="n"/>
      <c r="L283" s="102" t="n"/>
      <c r="M283" s="100" t="n"/>
    </row>
    <row r="284">
      <c r="A284" s="102" t="n"/>
      <c r="B284" s="100" t="n"/>
      <c r="C284" s="102" t="n"/>
      <c r="D284" s="100" t="n"/>
      <c r="E284" s="102" t="n"/>
      <c r="F284" s="100" t="n"/>
      <c r="G284" s="101" t="n"/>
      <c r="H284" s="102" t="n"/>
      <c r="I284" s="100" t="n"/>
      <c r="J284" s="102" t="n"/>
      <c r="K284" s="100" t="n"/>
      <c r="L284" s="102" t="n"/>
      <c r="M284" s="100" t="n"/>
    </row>
    <row r="285">
      <c r="A285" s="102" t="n"/>
      <c r="B285" s="100" t="n"/>
      <c r="C285" s="102" t="n"/>
      <c r="D285" s="100" t="n"/>
      <c r="E285" s="102" t="n"/>
      <c r="F285" s="100" t="n"/>
      <c r="G285" s="101" t="n"/>
      <c r="H285" s="102" t="n"/>
      <c r="I285" s="100" t="n"/>
      <c r="J285" s="102" t="n"/>
      <c r="K285" s="100" t="n"/>
      <c r="L285" s="102" t="n"/>
      <c r="M285" s="100" t="n"/>
    </row>
    <row r="286">
      <c r="A286" s="102" t="n"/>
      <c r="B286" s="100" t="n"/>
      <c r="C286" s="102" t="n"/>
      <c r="D286" s="100" t="n"/>
      <c r="E286" s="102" t="n"/>
      <c r="F286" s="100" t="n"/>
      <c r="G286" s="101" t="n"/>
      <c r="H286" s="102" t="n"/>
      <c r="I286" s="100" t="n"/>
      <c r="J286" s="102" t="n"/>
      <c r="K286" s="100" t="n"/>
      <c r="L286" s="102" t="n"/>
      <c r="M286" s="100" t="n"/>
    </row>
    <row r="287">
      <c r="A287" s="102" t="n"/>
      <c r="B287" s="100" t="n"/>
      <c r="C287" s="102" t="n"/>
      <c r="D287" s="100" t="n"/>
      <c r="E287" s="102" t="n"/>
      <c r="F287" s="100" t="n"/>
      <c r="G287" s="101" t="n"/>
      <c r="H287" s="102" t="n"/>
      <c r="I287" s="100" t="n"/>
      <c r="J287" s="102" t="n"/>
      <c r="K287" s="100" t="n"/>
      <c r="L287" s="102" t="n"/>
      <c r="M287" s="100" t="n"/>
    </row>
    <row r="288">
      <c r="A288" s="102" t="n"/>
      <c r="B288" s="100" t="n"/>
      <c r="C288" s="102" t="n"/>
      <c r="D288" s="100" t="n"/>
      <c r="E288" s="102" t="n"/>
      <c r="F288" s="100" t="n"/>
      <c r="G288" s="101" t="n"/>
      <c r="H288" s="102" t="n"/>
      <c r="I288" s="100" t="n"/>
      <c r="J288" s="102" t="n"/>
      <c r="K288" s="100" t="n"/>
      <c r="L288" s="102" t="n"/>
      <c r="M288" s="100" t="n"/>
    </row>
    <row r="289">
      <c r="A289" s="102" t="n"/>
      <c r="B289" s="100" t="n"/>
      <c r="C289" s="102" t="n"/>
      <c r="D289" s="100" t="n"/>
      <c r="E289" s="102" t="n"/>
      <c r="F289" s="100" t="n"/>
      <c r="G289" s="101" t="n"/>
      <c r="H289" s="102" t="n"/>
      <c r="I289" s="100" t="n"/>
      <c r="J289" s="102" t="n"/>
      <c r="K289" s="100" t="n"/>
      <c r="L289" s="102" t="n"/>
      <c r="M289" s="100" t="n"/>
    </row>
    <row r="290">
      <c r="A290" s="102" t="n"/>
      <c r="B290" s="100" t="n"/>
      <c r="C290" s="102" t="n"/>
      <c r="D290" s="100" t="n"/>
      <c r="E290" s="102" t="n"/>
      <c r="F290" s="100" t="n"/>
      <c r="G290" s="101" t="n"/>
      <c r="H290" s="102" t="n"/>
      <c r="I290" s="100" t="n"/>
      <c r="J290" s="102" t="n"/>
      <c r="K290" s="100" t="n"/>
      <c r="L290" s="102" t="n"/>
      <c r="M290" s="100" t="n"/>
    </row>
    <row r="291">
      <c r="A291" s="102" t="n"/>
      <c r="B291" s="100" t="n"/>
      <c r="C291" s="102" t="n"/>
      <c r="D291" s="100" t="n"/>
      <c r="E291" s="99" t="n"/>
      <c r="F291" s="100" t="n"/>
      <c r="G291" s="101" t="n"/>
      <c r="H291" s="102" t="n"/>
      <c r="I291" s="100" t="n"/>
      <c r="J291" s="102" t="n"/>
      <c r="K291" s="100" t="n"/>
      <c r="L291" s="99" t="n"/>
      <c r="M291" s="100" t="n"/>
    </row>
    <row r="292">
      <c r="A292" s="102" t="n"/>
      <c r="B292" s="100" t="n"/>
      <c r="C292" s="102" t="n"/>
      <c r="D292" s="100" t="n"/>
      <c r="E292" s="102" t="n"/>
      <c r="F292" s="100" t="n"/>
      <c r="G292" s="101" t="n"/>
      <c r="H292" s="102" t="n"/>
      <c r="I292" s="100" t="n"/>
      <c r="J292" s="102" t="n"/>
      <c r="K292" s="100" t="n"/>
      <c r="L292" s="102" t="n"/>
      <c r="M292" s="100" t="n"/>
    </row>
    <row r="293">
      <c r="A293" s="102" t="n"/>
      <c r="B293" s="100" t="n"/>
      <c r="C293" s="102" t="n"/>
      <c r="D293" s="100" t="n"/>
      <c r="E293" s="102" t="n"/>
      <c r="F293" s="100" t="n"/>
      <c r="G293" s="101" t="n"/>
      <c r="H293" s="102" t="n"/>
      <c r="I293" s="100" t="n"/>
      <c r="J293" s="102" t="n"/>
      <c r="K293" s="100" t="n"/>
      <c r="L293" s="102" t="n"/>
      <c r="M293" s="100" t="n"/>
    </row>
    <row r="294">
      <c r="A294" s="102" t="n"/>
      <c r="B294" s="100" t="n"/>
      <c r="C294" s="102" t="n"/>
      <c r="D294" s="100" t="n"/>
      <c r="E294" s="102" t="n"/>
      <c r="F294" s="100" t="n"/>
      <c r="G294" s="101" t="n"/>
      <c r="H294" s="102" t="n"/>
      <c r="I294" s="100" t="n"/>
      <c r="J294" s="102" t="n"/>
      <c r="K294" s="100" t="n"/>
      <c r="L294" s="102" t="n"/>
      <c r="M294" s="100" t="n"/>
    </row>
    <row r="295">
      <c r="A295" s="102" t="n"/>
      <c r="B295" s="100" t="n"/>
      <c r="C295" s="102" t="n"/>
      <c r="D295" s="100" t="n"/>
      <c r="E295" s="102" t="n"/>
      <c r="F295" s="100" t="n"/>
      <c r="G295" s="101" t="n"/>
      <c r="H295" s="102" t="n"/>
      <c r="I295" s="100" t="n"/>
      <c r="J295" s="102" t="n"/>
      <c r="K295" s="100" t="n"/>
      <c r="L295" s="102" t="n"/>
      <c r="M295" s="100" t="n"/>
    </row>
    <row r="296">
      <c r="A296" s="102" t="n"/>
      <c r="B296" s="100" t="n"/>
      <c r="C296" s="102" t="n"/>
      <c r="D296" s="100" t="n"/>
      <c r="E296" s="102" t="n"/>
      <c r="F296" s="100" t="n"/>
      <c r="G296" s="101" t="n"/>
      <c r="H296" s="102" t="n"/>
      <c r="I296" s="100" t="n"/>
      <c r="J296" s="102" t="n"/>
      <c r="K296" s="100" t="n"/>
      <c r="L296" s="102" t="n"/>
      <c r="M296" s="100" t="n"/>
    </row>
    <row r="297">
      <c r="A297" s="102" t="n"/>
      <c r="B297" s="100" t="n"/>
      <c r="C297" s="102" t="n"/>
      <c r="D297" s="100" t="n"/>
      <c r="E297" s="102" t="n"/>
      <c r="F297" s="100" t="n"/>
      <c r="G297" s="101" t="n"/>
      <c r="H297" s="102" t="n"/>
      <c r="I297" s="100" t="n"/>
      <c r="J297" s="102" t="n"/>
      <c r="K297" s="100" t="n"/>
      <c r="L297" s="102" t="n"/>
      <c r="M297" s="100" t="n"/>
    </row>
    <row r="298">
      <c r="A298" s="99" t="n"/>
      <c r="B298" s="100" t="n"/>
      <c r="C298" s="99" t="n"/>
      <c r="D298" s="100" t="n"/>
      <c r="E298" s="99" t="n"/>
      <c r="F298" s="100" t="n"/>
      <c r="G298" s="101" t="n"/>
      <c r="H298" s="99" t="n"/>
      <c r="I298" s="100" t="n"/>
      <c r="J298" s="99" t="n"/>
      <c r="K298" s="100" t="n"/>
      <c r="L298" s="99" t="n"/>
      <c r="M298" s="100" t="n"/>
    </row>
    <row r="299">
      <c r="A299" s="99" t="n"/>
      <c r="B299" s="100" t="n"/>
      <c r="C299" s="99" t="n"/>
      <c r="D299" s="100" t="n"/>
      <c r="E299" s="99" t="n"/>
      <c r="F299" s="100" t="n"/>
      <c r="G299" s="101" t="n"/>
      <c r="H299" s="99" t="n"/>
      <c r="I299" s="100" t="n"/>
      <c r="J299" s="99" t="n"/>
      <c r="K299" s="100" t="n"/>
      <c r="L299" s="99" t="n"/>
      <c r="M299" s="100" t="n"/>
    </row>
    <row r="300">
      <c r="A300" s="102" t="n"/>
      <c r="B300" s="100" t="n"/>
      <c r="C300" s="102" t="n"/>
      <c r="D300" s="100" t="n"/>
      <c r="E300" s="102" t="n"/>
      <c r="F300" s="100" t="n"/>
      <c r="G300" s="101" t="n"/>
      <c r="H300" s="102" t="n"/>
      <c r="I300" s="100" t="n"/>
      <c r="J300" s="102" t="n"/>
      <c r="K300" s="100" t="n"/>
      <c r="L300" s="102" t="n"/>
      <c r="M300" s="100" t="n"/>
    </row>
    <row r="301">
      <c r="A301" s="102" t="n"/>
      <c r="B301" s="100" t="n"/>
      <c r="C301" s="102" t="n"/>
      <c r="D301" s="100" t="n"/>
      <c r="E301" s="102" t="n"/>
      <c r="F301" s="100" t="n"/>
      <c r="G301" s="101" t="n"/>
      <c r="H301" s="102" t="n"/>
      <c r="I301" s="100" t="n"/>
      <c r="J301" s="102" t="n"/>
      <c r="K301" s="100" t="n"/>
      <c r="L301" s="102" t="n"/>
      <c r="M301" s="100" t="n"/>
    </row>
    <row r="302">
      <c r="A302" s="102" t="n"/>
      <c r="B302" s="100" t="n"/>
      <c r="C302" s="102" t="n"/>
      <c r="D302" s="100" t="n"/>
      <c r="E302" s="102" t="n"/>
      <c r="F302" s="100" t="n"/>
      <c r="G302" s="101" t="n"/>
      <c r="H302" s="102" t="n"/>
      <c r="I302" s="100" t="n"/>
      <c r="J302" s="102" t="n"/>
      <c r="K302" s="100" t="n"/>
      <c r="L302" s="102" t="n"/>
      <c r="M302" s="100" t="n"/>
    </row>
    <row r="303">
      <c r="A303" s="102" t="n"/>
      <c r="B303" s="100" t="n"/>
      <c r="C303" s="102" t="n"/>
      <c r="D303" s="100" t="n"/>
      <c r="E303" s="102" t="n"/>
      <c r="F303" s="100" t="n"/>
      <c r="G303" s="101" t="n"/>
      <c r="H303" s="102" t="n"/>
      <c r="I303" s="100" t="n"/>
      <c r="J303" s="102" t="n"/>
      <c r="K303" s="100" t="n"/>
      <c r="L303" s="102" t="n"/>
      <c r="M303" s="100" t="n"/>
    </row>
    <row r="304">
      <c r="A304" s="107" t="n"/>
      <c r="B304" s="107" t="n"/>
      <c r="C304" s="107" t="n"/>
      <c r="D304" s="107" t="n"/>
      <c r="E304" s="107" t="n"/>
      <c r="F304" s="90" t="n"/>
      <c r="G304" s="90" t="n"/>
      <c r="H304" s="90" t="n"/>
      <c r="I304" s="90" t="n"/>
      <c r="J304" s="90" t="n"/>
      <c r="K304" s="90" t="n"/>
      <c r="L304" s="90" t="n"/>
      <c r="M304" s="90" t="n"/>
    </row>
    <row r="305">
      <c r="A305" s="90" t="n"/>
      <c r="B305" s="90" t="n"/>
      <c r="C305" s="90" t="n"/>
      <c r="D305" s="90" t="n"/>
      <c r="E305" s="90" t="n"/>
      <c r="F305" s="91" t="n"/>
      <c r="G305" s="91" t="n"/>
      <c r="H305" s="91" t="n"/>
      <c r="I305" s="91" t="n"/>
      <c r="J305" s="90" t="n"/>
      <c r="K305" s="90" t="n"/>
      <c r="L305" s="90" t="n"/>
      <c r="M305" s="90" t="n"/>
    </row>
    <row r="306">
      <c r="A306" s="90" t="n"/>
      <c r="B306" s="90" t="n"/>
      <c r="C306" s="90" t="n"/>
      <c r="D306" s="90" t="n"/>
      <c r="E306" s="90" t="n"/>
      <c r="F306" s="91" t="n"/>
      <c r="G306" s="91" t="n"/>
      <c r="H306" s="91" t="n"/>
      <c r="I306" s="91" t="n"/>
      <c r="J306" s="90" t="n"/>
      <c r="K306" s="90" t="n"/>
      <c r="L306" s="90" t="n"/>
      <c r="M306" s="90" t="n"/>
    </row>
    <row r="307">
      <c r="A307" s="90" t="n"/>
      <c r="B307" s="90" t="n"/>
      <c r="C307" s="90" t="n"/>
      <c r="D307" s="90" t="n"/>
      <c r="E307" s="90" t="n"/>
      <c r="F307" s="91" t="n"/>
      <c r="G307" s="91" t="n"/>
      <c r="H307" s="91" t="n"/>
      <c r="I307" s="91" t="n"/>
      <c r="J307" s="90" t="n"/>
      <c r="K307" s="90" t="n"/>
      <c r="L307" s="90" t="n"/>
      <c r="M307" s="90" t="n"/>
    </row>
    <row r="308">
      <c r="A308" s="92" t="n"/>
      <c r="B308" s="92" t="n"/>
      <c r="C308" s="92" t="n"/>
      <c r="D308" s="92" t="n"/>
      <c r="E308" s="92" t="n"/>
      <c r="F308" s="92" t="n"/>
      <c r="H308" s="92" t="n"/>
      <c r="I308" s="92" t="n"/>
      <c r="J308" s="92" t="n"/>
      <c r="K308" s="92" t="n"/>
      <c r="L308" s="92" t="n"/>
      <c r="M308" s="92" t="n"/>
    </row>
    <row r="309">
      <c r="A309" s="102" t="n"/>
      <c r="B309" s="100" t="n"/>
      <c r="C309" s="102" t="n"/>
      <c r="D309" s="100" t="n"/>
      <c r="E309" s="102" t="n"/>
      <c r="F309" s="100" t="n"/>
      <c r="G309" s="101" t="n"/>
      <c r="H309" s="102" t="n"/>
      <c r="I309" s="100" t="n"/>
      <c r="J309" s="102" t="n"/>
      <c r="K309" s="100" t="n"/>
      <c r="L309" s="102" t="n"/>
      <c r="M309" s="100" t="n"/>
    </row>
    <row r="310">
      <c r="A310" s="102" t="n"/>
      <c r="B310" s="100" t="n"/>
      <c r="C310" s="102" t="n"/>
      <c r="D310" s="100" t="n"/>
      <c r="E310" s="102" t="n"/>
      <c r="F310" s="100" t="n"/>
      <c r="G310" s="101" t="n"/>
      <c r="H310" s="102" t="n"/>
      <c r="I310" s="100" t="n"/>
      <c r="J310" s="102" t="n"/>
      <c r="K310" s="100" t="n"/>
      <c r="L310" s="102" t="n"/>
      <c r="M310" s="100" t="n"/>
    </row>
    <row r="311">
      <c r="A311" s="102" t="n"/>
      <c r="B311" s="100" t="n"/>
      <c r="C311" s="102" t="n"/>
      <c r="D311" s="100" t="n"/>
      <c r="E311" s="102" t="n"/>
      <c r="F311" s="100" t="n"/>
      <c r="G311" s="101" t="n"/>
      <c r="H311" s="102" t="n"/>
      <c r="I311" s="100" t="n"/>
      <c r="J311" s="102" t="n"/>
      <c r="K311" s="100" t="n"/>
      <c r="L311" s="102" t="n"/>
      <c r="M311" s="100" t="n"/>
    </row>
    <row r="312">
      <c r="A312" s="102" t="n"/>
      <c r="B312" s="100" t="n"/>
      <c r="C312" s="102" t="n"/>
      <c r="D312" s="100" t="n"/>
      <c r="E312" s="102" t="n"/>
      <c r="F312" s="100" t="n"/>
      <c r="G312" s="101" t="n"/>
      <c r="H312" s="102" t="n"/>
      <c r="I312" s="100" t="n"/>
      <c r="J312" s="102" t="n"/>
      <c r="K312" s="100" t="n"/>
      <c r="L312" s="102" t="n"/>
      <c r="M312" s="100" t="n"/>
    </row>
    <row r="313">
      <c r="A313" s="102" t="n"/>
      <c r="B313" s="100" t="n"/>
      <c r="C313" s="102" t="n"/>
      <c r="D313" s="100" t="n"/>
      <c r="E313" s="102" t="n"/>
      <c r="F313" s="100" t="n"/>
      <c r="G313" s="101" t="n"/>
      <c r="H313" s="102" t="n"/>
      <c r="I313" s="100" t="n"/>
      <c r="J313" s="102" t="n"/>
      <c r="K313" s="100" t="n"/>
      <c r="L313" s="102" t="n"/>
      <c r="M313" s="100" t="n"/>
    </row>
    <row r="314">
      <c r="A314" s="102" t="n"/>
      <c r="B314" s="100" t="n"/>
      <c r="C314" s="102" t="n"/>
      <c r="D314" s="100" t="n"/>
      <c r="E314" s="102" t="n"/>
      <c r="F314" s="100" t="n"/>
      <c r="G314" s="101" t="n"/>
      <c r="H314" s="102" t="n"/>
      <c r="I314" s="100" t="n"/>
      <c r="J314" s="102" t="n"/>
      <c r="K314" s="100" t="n"/>
      <c r="L314" s="102" t="n"/>
      <c r="M314" s="100" t="n"/>
    </row>
    <row r="315">
      <c r="A315" s="103" t="n"/>
      <c r="B315" s="103" t="n"/>
      <c r="C315" s="103" t="n"/>
      <c r="D315" s="103" t="n"/>
      <c r="E315" s="103" t="n"/>
      <c r="F315" s="103" t="n"/>
      <c r="G315" s="104" t="n"/>
      <c r="H315" s="103" t="n"/>
      <c r="I315" s="103" t="n"/>
      <c r="J315" s="103" t="n"/>
      <c r="K315" s="103" t="n"/>
      <c r="L315" s="103" t="n"/>
      <c r="M315" s="103" t="n"/>
    </row>
    <row r="316">
      <c r="A316" s="95" t="n"/>
      <c r="B316" s="97" t="n"/>
      <c r="C316" s="95" t="n"/>
      <c r="D316" s="97" t="n"/>
      <c r="E316" s="95" t="n"/>
      <c r="F316" s="97" t="n"/>
      <c r="G316" s="94" t="n"/>
      <c r="H316" s="95" t="n"/>
      <c r="I316" s="97" t="n"/>
      <c r="J316" s="95" t="n"/>
      <c r="K316" s="97" t="n"/>
      <c r="L316" s="95" t="n"/>
      <c r="M316" s="97" t="n"/>
    </row>
    <row r="317">
      <c r="A317" s="93" t="n"/>
      <c r="B317" s="93" t="n"/>
      <c r="C317" s="93" t="n"/>
      <c r="D317" s="93" t="n"/>
      <c r="E317" s="93" t="n"/>
      <c r="F317" s="93" t="n"/>
      <c r="G317" s="94" t="n"/>
      <c r="H317" s="93" t="n"/>
      <c r="I317" s="93" t="n"/>
      <c r="J317" s="93" t="n"/>
      <c r="K317" s="93" t="n"/>
      <c r="L317" s="93" t="n"/>
      <c r="M317" s="93" t="n"/>
    </row>
    <row r="318">
      <c r="A318" s="95" t="n"/>
      <c r="B318" s="97" t="n"/>
      <c r="C318" s="95" t="n"/>
      <c r="D318" s="97" t="n"/>
      <c r="E318" s="95" t="n"/>
      <c r="F318" s="97" t="n"/>
      <c r="G318" s="94" t="n"/>
      <c r="H318" s="95" t="n"/>
      <c r="I318" s="97" t="n"/>
      <c r="J318" s="95" t="n"/>
      <c r="K318" s="97" t="n"/>
      <c r="L318" s="95" t="n"/>
      <c r="M318" s="97" t="n"/>
    </row>
    <row r="319">
      <c r="A319" s="93" t="n"/>
      <c r="B319" s="93" t="n"/>
      <c r="C319" s="93" t="n"/>
      <c r="D319" s="93" t="n"/>
      <c r="E319" s="93" t="n"/>
      <c r="F319" s="93" t="n"/>
      <c r="G319" s="94" t="n"/>
      <c r="H319" s="93" t="n"/>
      <c r="I319" s="93" t="n"/>
      <c r="J319" s="93" t="n"/>
      <c r="K319" s="93" t="n"/>
      <c r="L319" s="93" t="n"/>
      <c r="M319" s="93" t="n"/>
    </row>
    <row r="320" ht="15" customHeight="1" s="54" thickBot="1">
      <c r="A320" s="95" t="n"/>
      <c r="B320" s="97" t="n"/>
      <c r="C320" s="95" t="n"/>
      <c r="D320" s="97" t="n"/>
      <c r="E320" s="105" t="n"/>
      <c r="F320" s="97" t="n"/>
      <c r="G320" s="94" t="n"/>
      <c r="H320" s="95" t="n"/>
      <c r="I320" s="97" t="n"/>
      <c r="J320" s="95" t="n"/>
      <c r="K320" s="97" t="n"/>
      <c r="L320" s="105" t="n"/>
      <c r="M320" s="97" t="n"/>
    </row>
    <row r="321" ht="15" customHeight="1" s="54" thickTop="1">
      <c r="A321" s="108" t="n"/>
      <c r="B321" s="108" t="n"/>
      <c r="C321" s="108" t="n"/>
      <c r="D321" s="108" t="n"/>
      <c r="E321" s="108" t="n"/>
      <c r="F321" s="108" t="n"/>
      <c r="G321" s="109" t="n"/>
      <c r="H321" s="108" t="n"/>
      <c r="I321" s="108" t="n"/>
      <c r="J321" s="108" t="n"/>
      <c r="K321" s="108" t="n"/>
      <c r="L321" s="108" t="n"/>
      <c r="M321" s="108" t="n"/>
    </row>
    <row r="322">
      <c r="A322" s="107" t="n"/>
      <c r="B322" s="107" t="n"/>
      <c r="C322" s="107" t="n"/>
      <c r="D322" s="107" t="n"/>
      <c r="E322" s="107" t="n"/>
      <c r="F322" s="90" t="n"/>
      <c r="G322" s="90" t="n"/>
      <c r="H322" s="90" t="n"/>
      <c r="I322" s="90" t="n"/>
      <c r="J322" s="90" t="n"/>
      <c r="K322" s="90" t="n"/>
      <c r="L322" s="90" t="n"/>
      <c r="M322" s="90" t="n"/>
    </row>
    <row r="323">
      <c r="A323" s="90" t="n"/>
      <c r="B323" s="90" t="n"/>
      <c r="C323" s="90" t="n"/>
      <c r="D323" s="90" t="n"/>
      <c r="E323" s="90" t="n"/>
      <c r="F323" s="91" t="n"/>
      <c r="G323" s="91" t="n"/>
      <c r="H323" s="91" t="n"/>
      <c r="I323" s="91" t="n"/>
      <c r="J323" s="90" t="n"/>
      <c r="K323" s="90" t="n"/>
      <c r="L323" s="90" t="n"/>
      <c r="M323" s="90" t="n"/>
    </row>
    <row r="324">
      <c r="A324" s="90" t="n"/>
      <c r="B324" s="90" t="n"/>
      <c r="C324" s="90" t="n"/>
      <c r="D324" s="90" t="n"/>
      <c r="E324" s="90" t="n"/>
      <c r="F324" s="91" t="n"/>
      <c r="G324" s="91" t="n"/>
      <c r="H324" s="91" t="n"/>
      <c r="I324" s="91" t="n"/>
      <c r="J324" s="90" t="n"/>
      <c r="K324" s="90" t="n"/>
      <c r="L324" s="90" t="n"/>
      <c r="M324" s="90" t="n"/>
    </row>
    <row r="325">
      <c r="A325" s="90" t="n"/>
      <c r="B325" s="90" t="n"/>
      <c r="C325" s="90" t="n"/>
      <c r="D325" s="90" t="n"/>
      <c r="E325" s="90" t="n"/>
      <c r="F325" s="91" t="n"/>
      <c r="G325" s="91" t="n"/>
      <c r="H325" s="91" t="n"/>
      <c r="I325" s="91" t="n"/>
      <c r="J325" s="90" t="n"/>
      <c r="K325" s="90" t="n"/>
      <c r="L325" s="90" t="n"/>
      <c r="M325" s="90" t="n"/>
    </row>
    <row r="326">
      <c r="A326" s="92" t="n"/>
      <c r="B326" s="92" t="n"/>
      <c r="C326" s="92" t="n"/>
      <c r="D326" s="92" t="n"/>
      <c r="E326" s="92" t="n"/>
      <c r="F326" s="92" t="n"/>
      <c r="H326" s="92" t="n"/>
      <c r="I326" s="92" t="n"/>
      <c r="J326" s="92" t="n"/>
      <c r="K326" s="92" t="n"/>
      <c r="L326" s="92" t="n"/>
      <c r="M326" s="92" t="n"/>
    </row>
    <row r="327">
      <c r="A327" s="93" t="n"/>
      <c r="B327" s="93" t="n"/>
      <c r="C327" s="93" t="n"/>
      <c r="D327" s="93" t="n"/>
      <c r="E327" s="93" t="n"/>
      <c r="F327" s="93" t="n"/>
      <c r="G327" s="94" t="n"/>
      <c r="H327" s="93" t="n"/>
      <c r="I327" s="93" t="n"/>
      <c r="J327" s="93" t="n"/>
      <c r="K327" s="93" t="n"/>
      <c r="L327" s="93" t="n"/>
      <c r="M327" s="93" t="n"/>
    </row>
    <row r="328">
      <c r="A328" s="93" t="n"/>
      <c r="B328" s="93" t="n"/>
      <c r="C328" s="93" t="n"/>
      <c r="D328" s="93" t="n"/>
      <c r="E328" s="93" t="n"/>
      <c r="F328" s="93" t="n"/>
      <c r="G328" s="94" t="n"/>
      <c r="H328" s="93" t="n"/>
      <c r="I328" s="93" t="n"/>
      <c r="J328" s="93" t="n"/>
      <c r="K328" s="93" t="n"/>
      <c r="L328" s="93" t="n"/>
      <c r="M328" s="93" t="n"/>
    </row>
    <row r="329">
      <c r="A329" s="93" t="n"/>
      <c r="B329" s="93" t="n"/>
      <c r="C329" s="93" t="n"/>
      <c r="D329" s="93" t="n"/>
      <c r="E329" s="93" t="n"/>
      <c r="F329" s="93" t="n"/>
      <c r="G329" s="94" t="n"/>
      <c r="H329" s="93" t="n"/>
      <c r="I329" s="93" t="n"/>
      <c r="J329" s="93" t="n"/>
      <c r="K329" s="93" t="n"/>
      <c r="L329" s="93" t="n"/>
      <c r="M329" s="93" t="n"/>
    </row>
    <row r="330">
      <c r="A330" s="102" t="n"/>
      <c r="B330" s="100" t="n"/>
      <c r="C330" s="102" t="n"/>
      <c r="D330" s="100" t="n"/>
      <c r="E330" s="99" t="n"/>
      <c r="F330" s="100" t="n"/>
      <c r="G330" s="101" t="n"/>
      <c r="H330" s="102" t="n"/>
      <c r="I330" s="100" t="n"/>
      <c r="J330" s="102" t="n"/>
      <c r="K330" s="100" t="n"/>
      <c r="L330" s="99" t="n"/>
      <c r="M330" s="100" t="n"/>
    </row>
    <row r="331">
      <c r="A331" s="99" t="n"/>
      <c r="B331" s="100" t="n"/>
      <c r="C331" s="99" t="n"/>
      <c r="D331" s="100" t="n"/>
      <c r="E331" s="99" t="n"/>
      <c r="F331" s="100" t="n"/>
      <c r="G331" s="101" t="n"/>
      <c r="H331" s="99" t="n"/>
      <c r="I331" s="100" t="n"/>
      <c r="J331" s="99" t="n"/>
      <c r="K331" s="100" t="n"/>
      <c r="L331" s="99" t="n"/>
      <c r="M331" s="100" t="n"/>
    </row>
    <row r="332">
      <c r="A332" s="95" t="n"/>
      <c r="B332" s="97" t="n"/>
      <c r="C332" s="95" t="n"/>
      <c r="D332" s="97" t="n"/>
      <c r="E332" s="95" t="n"/>
      <c r="F332" s="97" t="n"/>
      <c r="G332" s="94" t="n"/>
      <c r="H332" s="95" t="n"/>
      <c r="I332" s="97" t="n"/>
      <c r="J332" s="95" t="n"/>
      <c r="K332" s="97" t="n"/>
      <c r="L332" s="95" t="n"/>
      <c r="M332" s="97" t="n"/>
    </row>
    <row r="333">
      <c r="A333" s="96" t="n"/>
      <c r="B333" s="97" t="n"/>
      <c r="C333" s="96" t="n"/>
      <c r="D333" s="97" t="n"/>
      <c r="E333" s="96" t="n"/>
      <c r="F333" s="97" t="n"/>
      <c r="G333" s="94" t="n"/>
      <c r="H333" s="96" t="n"/>
      <c r="I333" s="97" t="n"/>
      <c r="J333" s="96" t="n"/>
      <c r="K333" s="97" t="n"/>
      <c r="L333" s="96" t="n"/>
      <c r="M333" s="97" t="n"/>
    </row>
    <row r="334">
      <c r="A334" s="96" t="n"/>
      <c r="B334" s="97" t="n"/>
      <c r="C334" s="96" t="n"/>
      <c r="D334" s="97" t="n"/>
      <c r="E334" s="96" t="n"/>
      <c r="F334" s="97" t="n"/>
      <c r="G334" s="94" t="n"/>
      <c r="H334" s="96" t="n"/>
      <c r="I334" s="97" t="n"/>
      <c r="J334" s="96" t="n"/>
      <c r="K334" s="97" t="n"/>
      <c r="L334" s="96" t="n"/>
      <c r="M334" s="97" t="n"/>
    </row>
    <row r="335">
      <c r="A335" s="93" t="n"/>
      <c r="B335" s="93" t="n"/>
      <c r="C335" s="93" t="n"/>
      <c r="D335" s="93" t="n"/>
      <c r="E335" s="93" t="n"/>
      <c r="F335" s="93" t="n"/>
      <c r="G335" s="94" t="n"/>
      <c r="H335" s="93" t="n"/>
      <c r="I335" s="93" t="n"/>
      <c r="J335" s="93" t="n"/>
      <c r="K335" s="93" t="n"/>
      <c r="L335" s="93" t="n"/>
      <c r="M335" s="93" t="n"/>
    </row>
    <row r="336">
      <c r="A336" s="95" t="n"/>
      <c r="B336" s="97" t="n"/>
      <c r="C336" s="95" t="n"/>
      <c r="D336" s="97" t="n"/>
      <c r="E336" s="95" t="n"/>
      <c r="F336" s="97" t="n"/>
      <c r="G336" s="94" t="n"/>
      <c r="H336" s="95" t="n"/>
      <c r="I336" s="97" t="n"/>
      <c r="J336" s="95" t="n"/>
      <c r="K336" s="97" t="n"/>
      <c r="L336" s="95" t="n"/>
      <c r="M336" s="97" t="n"/>
    </row>
    <row r="337">
      <c r="A337" s="93" t="n"/>
      <c r="B337" s="93" t="n"/>
      <c r="C337" s="93" t="n"/>
      <c r="D337" s="93" t="n"/>
      <c r="E337" s="93" t="n"/>
      <c r="F337" s="93" t="n"/>
      <c r="G337" s="94" t="n"/>
      <c r="H337" s="93" t="n"/>
      <c r="I337" s="93" t="n"/>
      <c r="J337" s="93" t="n"/>
      <c r="K337" s="93" t="n"/>
      <c r="L337" s="93" t="n"/>
      <c r="M337" s="93" t="n"/>
    </row>
    <row r="338">
      <c r="A338" s="93" t="n"/>
      <c r="B338" s="93" t="n"/>
      <c r="C338" s="93" t="n"/>
      <c r="D338" s="93" t="n"/>
      <c r="E338" s="93" t="n"/>
      <c r="F338" s="93" t="n"/>
      <c r="G338" s="94" t="n"/>
      <c r="H338" s="93" t="n"/>
      <c r="I338" s="93" t="n"/>
      <c r="J338" s="93" t="n"/>
      <c r="K338" s="93" t="n"/>
      <c r="L338" s="93" t="n"/>
      <c r="M338" s="93" t="n"/>
    </row>
    <row r="339">
      <c r="A339" s="102" t="n"/>
      <c r="B339" s="100" t="n"/>
      <c r="C339" s="102" t="n"/>
      <c r="D339" s="100" t="n"/>
      <c r="E339" s="102" t="n"/>
      <c r="F339" s="100" t="n"/>
      <c r="G339" s="101" t="n"/>
      <c r="H339" s="102" t="n"/>
      <c r="I339" s="100" t="n"/>
      <c r="J339" s="102" t="n"/>
      <c r="K339" s="100" t="n"/>
      <c r="L339" s="102" t="n"/>
      <c r="M339" s="100" t="n"/>
    </row>
    <row r="340">
      <c r="A340" s="99" t="n"/>
      <c r="B340" s="100" t="n"/>
      <c r="C340" s="99" t="n"/>
      <c r="D340" s="100" t="n"/>
      <c r="E340" s="99" t="n"/>
      <c r="F340" s="100" t="n"/>
      <c r="G340" s="101" t="n"/>
      <c r="H340" s="99" t="n"/>
      <c r="I340" s="100" t="n"/>
      <c r="J340" s="99" t="n"/>
      <c r="K340" s="100" t="n"/>
      <c r="L340" s="99" t="n"/>
      <c r="M340" s="100" t="n"/>
    </row>
    <row r="341">
      <c r="A341" s="102" t="n"/>
      <c r="B341" s="100" t="n"/>
      <c r="C341" s="102" t="n"/>
      <c r="D341" s="100" t="n"/>
      <c r="E341" s="102" t="n"/>
      <c r="F341" s="100" t="n"/>
      <c r="G341" s="101" t="n"/>
      <c r="H341" s="102" t="n"/>
      <c r="I341" s="100" t="n"/>
      <c r="J341" s="102" t="n"/>
      <c r="K341" s="100" t="n"/>
      <c r="L341" s="102" t="n"/>
      <c r="M341" s="100" t="n"/>
    </row>
    <row r="342">
      <c r="A342" s="95" t="n"/>
      <c r="B342" s="97" t="n"/>
      <c r="C342" s="95" t="n"/>
      <c r="D342" s="97" t="n"/>
      <c r="E342" s="95" t="n"/>
      <c r="F342" s="97" t="n"/>
      <c r="G342" s="94" t="n"/>
      <c r="H342" s="95" t="n"/>
      <c r="I342" s="97" t="n"/>
      <c r="J342" s="95" t="n"/>
      <c r="K342" s="97" t="n"/>
      <c r="L342" s="95" t="n"/>
      <c r="M342" s="97" t="n"/>
    </row>
    <row r="343">
      <c r="A343" s="102" t="n"/>
      <c r="B343" s="100" t="n"/>
      <c r="C343" s="102" t="n"/>
      <c r="D343" s="100" t="n"/>
      <c r="E343" s="102" t="n"/>
      <c r="F343" s="100" t="n"/>
      <c r="G343" s="101" t="n"/>
      <c r="H343" s="102" t="n"/>
      <c r="I343" s="100" t="n"/>
      <c r="J343" s="102" t="n"/>
      <c r="K343" s="100" t="n"/>
      <c r="L343" s="102" t="n"/>
      <c r="M343" s="100" t="n"/>
    </row>
    <row r="344">
      <c r="A344" s="102" t="n"/>
      <c r="B344" s="100" t="n"/>
      <c r="C344" s="102" t="n"/>
      <c r="D344" s="100" t="n"/>
      <c r="E344" s="99" t="n"/>
      <c r="F344" s="100" t="n"/>
      <c r="G344" s="101" t="n"/>
      <c r="H344" s="102" t="n"/>
      <c r="I344" s="100" t="n"/>
      <c r="J344" s="102" t="n"/>
      <c r="K344" s="100" t="n"/>
      <c r="L344" s="99" t="n"/>
      <c r="M344" s="100" t="n"/>
    </row>
    <row r="345">
      <c r="A345" s="102" t="n"/>
      <c r="B345" s="100" t="n"/>
      <c r="C345" s="102" t="n"/>
      <c r="D345" s="100" t="n"/>
      <c r="E345" s="102" t="n"/>
      <c r="F345" s="100" t="n"/>
      <c r="G345" s="101" t="n"/>
      <c r="H345" s="102" t="n"/>
      <c r="I345" s="100" t="n"/>
      <c r="J345" s="102" t="n"/>
      <c r="K345" s="100" t="n"/>
      <c r="L345" s="102" t="n"/>
      <c r="M345" s="100" t="n"/>
    </row>
    <row r="346">
      <c r="A346" s="96" t="n"/>
      <c r="B346" s="97" t="n"/>
      <c r="C346" s="96" t="n"/>
      <c r="D346" s="97" t="n"/>
      <c r="E346" s="95" t="n"/>
      <c r="F346" s="97" t="n"/>
      <c r="G346" s="94" t="n"/>
      <c r="H346" s="96" t="n"/>
      <c r="I346" s="97" t="n"/>
      <c r="J346" s="96" t="n"/>
      <c r="K346" s="97" t="n"/>
      <c r="L346" s="95" t="n"/>
      <c r="M346" s="97" t="n"/>
    </row>
    <row r="347">
      <c r="A347" s="96" t="n"/>
      <c r="B347" s="97" t="n"/>
      <c r="C347" s="96" t="n"/>
      <c r="D347" s="97" t="n"/>
      <c r="E347" s="96" t="n"/>
      <c r="F347" s="97" t="n"/>
      <c r="G347" s="94" t="n"/>
      <c r="H347" s="96" t="n"/>
      <c r="I347" s="97" t="n"/>
      <c r="J347" s="96" t="n"/>
      <c r="K347" s="97" t="n"/>
      <c r="L347" s="96" t="n"/>
      <c r="M347" s="97" t="n"/>
    </row>
    <row r="348">
      <c r="A348" s="93" t="n"/>
      <c r="B348" s="93" t="n"/>
      <c r="C348" s="93" t="n"/>
      <c r="D348" s="93" t="n"/>
      <c r="E348" s="93" t="n"/>
      <c r="F348" s="93" t="n"/>
      <c r="G348" s="94" t="n"/>
      <c r="H348" s="93" t="n"/>
      <c r="I348" s="93" t="n"/>
      <c r="J348" s="93" t="n"/>
      <c r="K348" s="93" t="n"/>
      <c r="L348" s="93" t="n"/>
      <c r="M348" s="93" t="n"/>
    </row>
    <row r="349">
      <c r="A349" s="95" t="n"/>
      <c r="B349" s="97" t="n"/>
      <c r="C349" s="95" t="n"/>
      <c r="D349" s="97" t="n"/>
      <c r="E349" s="95" t="n"/>
      <c r="F349" s="97" t="n"/>
      <c r="G349" s="94" t="n"/>
      <c r="H349" s="95" t="n"/>
      <c r="I349" s="97" t="n"/>
      <c r="J349" s="95" t="n"/>
      <c r="K349" s="97" t="n"/>
      <c r="L349" s="95" t="n"/>
      <c r="M349" s="97" t="n"/>
    </row>
    <row r="350">
      <c r="A350" s="111" t="n"/>
      <c r="B350" s="111" t="n"/>
      <c r="C350" s="111" t="n"/>
      <c r="D350" s="111" t="n"/>
      <c r="E350" s="111" t="n"/>
      <c r="F350" s="111" t="n"/>
      <c r="G350" s="112" t="n"/>
      <c r="H350" s="111" t="n"/>
      <c r="I350" s="111" t="n"/>
      <c r="J350" s="111" t="n"/>
      <c r="K350" s="111" t="n"/>
      <c r="L350" s="111" t="n"/>
      <c r="M350" s="111" t="n"/>
    </row>
    <row r="351">
      <c r="A351" s="95" t="n"/>
      <c r="B351" s="97" t="n"/>
      <c r="C351" s="95" t="n"/>
      <c r="D351" s="97" t="n"/>
      <c r="E351" s="95" t="n"/>
      <c r="F351" s="97" t="n"/>
      <c r="G351" s="94" t="n"/>
      <c r="H351" s="95" t="n"/>
      <c r="I351" s="97" t="n"/>
      <c r="J351" s="95" t="n"/>
      <c r="K351" s="97" t="n"/>
      <c r="L351" s="95" t="n"/>
      <c r="M351" s="97" t="n"/>
    </row>
    <row r="352">
      <c r="A352" s="93" t="n"/>
      <c r="B352" s="93" t="n"/>
      <c r="C352" s="93" t="n"/>
      <c r="D352" s="93" t="n"/>
      <c r="E352" s="93" t="n"/>
      <c r="F352" s="93" t="n"/>
      <c r="G352" s="94" t="n"/>
      <c r="H352" s="93" t="n"/>
      <c r="I352" s="93" t="n"/>
      <c r="J352" s="93" t="n"/>
      <c r="K352" s="93" t="n"/>
      <c r="L352" s="93" t="n"/>
      <c r="M352" s="93" t="n"/>
    </row>
    <row r="353">
      <c r="A353" s="93" t="n"/>
      <c r="B353" s="93" t="n"/>
      <c r="C353" s="93" t="n"/>
      <c r="D353" s="93" t="n"/>
      <c r="E353" s="93" t="n"/>
      <c r="F353" s="93" t="n"/>
      <c r="G353" s="94" t="n"/>
      <c r="H353" s="93" t="n"/>
      <c r="I353" s="93" t="n"/>
      <c r="J353" s="93" t="n"/>
      <c r="K353" s="93" t="n"/>
      <c r="L353" s="93" t="n"/>
      <c r="M353" s="93" t="n"/>
    </row>
    <row r="354">
      <c r="A354" s="99" t="n"/>
      <c r="B354" s="100" t="n"/>
      <c r="C354" s="99" t="n"/>
      <c r="D354" s="100" t="n"/>
      <c r="E354" s="99" t="n"/>
      <c r="F354" s="100" t="n"/>
      <c r="G354" s="101" t="n"/>
      <c r="H354" s="99" t="n"/>
      <c r="I354" s="100" t="n"/>
      <c r="J354" s="99" t="n"/>
      <c r="K354" s="100" t="n"/>
      <c r="L354" s="99" t="n"/>
      <c r="M354" s="100" t="n"/>
    </row>
    <row r="355">
      <c r="A355" s="110" t="n"/>
      <c r="B355" s="100" t="n"/>
      <c r="C355" s="110" t="n"/>
      <c r="D355" s="100" t="n"/>
      <c r="E355" s="102" t="n"/>
      <c r="F355" s="100" t="n"/>
      <c r="G355" s="101" t="n"/>
      <c r="H355" s="110" t="n"/>
      <c r="I355" s="100" t="n"/>
      <c r="J355" s="110" t="n"/>
      <c r="K355" s="100" t="n"/>
      <c r="L355" s="102" t="n"/>
      <c r="M355" s="100" t="n"/>
    </row>
    <row r="356">
      <c r="A356" s="114" t="n"/>
      <c r="B356" s="100" t="n"/>
      <c r="C356" s="114" t="n"/>
      <c r="D356" s="100" t="n"/>
      <c r="E356" s="102" t="n"/>
      <c r="F356" s="100" t="n"/>
      <c r="G356" s="101" t="n"/>
      <c r="H356" s="114" t="n"/>
      <c r="I356" s="100" t="n"/>
      <c r="J356" s="114" t="n"/>
      <c r="K356" s="100" t="n"/>
      <c r="L356" s="102" t="n"/>
      <c r="M356" s="100" t="n"/>
    </row>
    <row r="357">
      <c r="A357" s="102" t="n"/>
      <c r="B357" s="100" t="n"/>
      <c r="C357" s="102" t="n"/>
      <c r="D357" s="100" t="n"/>
      <c r="E357" s="99" t="n"/>
      <c r="F357" s="100" t="n"/>
      <c r="G357" s="101" t="n"/>
      <c r="H357" s="102" t="n"/>
      <c r="I357" s="100" t="n"/>
      <c r="J357" s="102" t="n"/>
      <c r="K357" s="100" t="n"/>
      <c r="L357" s="99" t="n"/>
      <c r="M357" s="100" t="n"/>
    </row>
    <row r="358">
      <c r="A358" s="102" t="n"/>
      <c r="B358" s="100" t="n"/>
      <c r="C358" s="102" t="n"/>
      <c r="D358" s="100" t="n"/>
      <c r="E358" s="99" t="n"/>
      <c r="F358" s="100" t="n"/>
      <c r="G358" s="101" t="n"/>
      <c r="H358" s="102" t="n"/>
      <c r="I358" s="100" t="n"/>
      <c r="J358" s="102" t="n"/>
      <c r="K358" s="100" t="n"/>
      <c r="L358" s="99" t="n"/>
      <c r="M358" s="100" t="n"/>
    </row>
    <row r="359">
      <c r="A359" s="103" t="n"/>
      <c r="B359" s="103" t="n"/>
      <c r="C359" s="103" t="n"/>
      <c r="D359" s="103" t="n"/>
      <c r="E359" s="103" t="n"/>
      <c r="F359" s="103" t="n"/>
      <c r="G359" s="104" t="n"/>
      <c r="H359" s="103" t="n"/>
      <c r="I359" s="103" t="n"/>
      <c r="J359" s="103" t="n"/>
      <c r="K359" s="103" t="n"/>
      <c r="L359" s="103" t="n"/>
      <c r="M359" s="103" t="n"/>
    </row>
    <row r="360">
      <c r="A360" s="95" t="n"/>
      <c r="B360" s="97" t="n"/>
      <c r="C360" s="95" t="n"/>
      <c r="D360" s="97" t="n"/>
      <c r="E360" s="95" t="n"/>
      <c r="F360" s="97" t="n"/>
      <c r="G360" s="94" t="n"/>
      <c r="H360" s="95" t="n"/>
      <c r="I360" s="97" t="n"/>
      <c r="J360" s="95" t="n"/>
      <c r="K360" s="97" t="n"/>
      <c r="L360" s="95" t="n"/>
      <c r="M360" s="97" t="n"/>
    </row>
    <row r="361">
      <c r="A361" s="93" t="n"/>
      <c r="B361" s="93" t="n"/>
      <c r="C361" s="93" t="n"/>
      <c r="D361" s="93" t="n"/>
      <c r="E361" s="93" t="n"/>
      <c r="F361" s="93" t="n"/>
      <c r="G361" s="94" t="n"/>
      <c r="H361" s="93" t="n"/>
      <c r="I361" s="93" t="n"/>
      <c r="J361" s="93" t="n"/>
      <c r="K361" s="93" t="n"/>
      <c r="L361" s="93" t="n"/>
      <c r="M361" s="93" t="n"/>
    </row>
    <row r="362">
      <c r="A362" s="95" t="n"/>
      <c r="B362" s="97" t="n"/>
      <c r="C362" s="95" t="n"/>
      <c r="D362" s="97" t="n"/>
      <c r="E362" s="95" t="n"/>
      <c r="F362" s="97" t="n"/>
      <c r="G362" s="94" t="n"/>
      <c r="H362" s="95" t="n"/>
      <c r="I362" s="97" t="n"/>
      <c r="J362" s="95" t="n"/>
      <c r="K362" s="97" t="n"/>
      <c r="L362" s="95" t="n"/>
      <c r="M362" s="97" t="n"/>
    </row>
    <row r="363">
      <c r="A363" s="93" t="n"/>
      <c r="B363" s="93" t="n"/>
      <c r="C363" s="93" t="n"/>
      <c r="D363" s="93" t="n"/>
      <c r="E363" s="93" t="n"/>
      <c r="F363" s="93" t="n"/>
      <c r="G363" s="94" t="n"/>
      <c r="H363" s="93" t="n"/>
      <c r="I363" s="93" t="n"/>
      <c r="J363" s="93" t="n"/>
      <c r="K363" s="93" t="n"/>
      <c r="L363" s="93" t="n"/>
      <c r="M363" s="93" t="n"/>
    </row>
    <row r="364">
      <c r="A364" s="93" t="n"/>
      <c r="B364" s="93" t="n"/>
      <c r="C364" s="93" t="n"/>
      <c r="D364" s="93" t="n"/>
      <c r="E364" s="93" t="n"/>
      <c r="F364" s="93" t="n"/>
      <c r="G364" s="94" t="n"/>
      <c r="H364" s="93" t="n"/>
      <c r="I364" s="93" t="n"/>
      <c r="J364" s="93" t="n"/>
      <c r="K364" s="93" t="n"/>
      <c r="L364" s="93" t="n"/>
      <c r="M364" s="93" t="n"/>
    </row>
    <row r="365">
      <c r="A365" s="93" t="n"/>
      <c r="B365" s="93" t="n"/>
      <c r="C365" s="93" t="n"/>
      <c r="D365" s="93" t="n"/>
      <c r="E365" s="93" t="n"/>
      <c r="F365" s="93" t="n"/>
      <c r="G365" s="94" t="n"/>
      <c r="H365" s="93" t="n"/>
      <c r="I365" s="93" t="n"/>
      <c r="J365" s="93" t="n"/>
      <c r="K365" s="93" t="n"/>
      <c r="L365" s="93" t="n"/>
      <c r="M365" s="93" t="n"/>
    </row>
    <row r="366">
      <c r="A366" s="99" t="n"/>
      <c r="B366" s="106" t="n"/>
      <c r="C366" s="99" t="n"/>
      <c r="D366" s="106" t="n"/>
      <c r="E366" s="99" t="n"/>
      <c r="F366" s="106" t="n"/>
      <c r="G366" s="101" t="n"/>
      <c r="H366" s="99" t="n"/>
      <c r="I366" s="106" t="n"/>
      <c r="J366" s="99" t="n"/>
      <c r="K366" s="106" t="n"/>
      <c r="L366" s="99" t="n"/>
      <c r="M366" s="106" t="n"/>
    </row>
    <row r="367">
      <c r="A367" s="99" t="n"/>
      <c r="B367" s="106" t="n"/>
      <c r="C367" s="99" t="n"/>
      <c r="D367" s="106" t="n"/>
      <c r="E367" s="102" t="n"/>
      <c r="F367" s="106" t="n"/>
      <c r="G367" s="101" t="n"/>
      <c r="H367" s="99" t="n"/>
      <c r="I367" s="106" t="n"/>
      <c r="J367" s="99" t="n"/>
      <c r="K367" s="106" t="n"/>
      <c r="L367" s="102" t="n"/>
      <c r="M367" s="106" t="n"/>
    </row>
    <row r="368">
      <c r="A368" s="99" t="n"/>
      <c r="B368" s="106" t="n"/>
      <c r="C368" s="99" t="n"/>
      <c r="D368" s="106" t="n"/>
      <c r="E368" s="102" t="n"/>
      <c r="F368" s="106" t="n"/>
      <c r="G368" s="101" t="n"/>
      <c r="H368" s="99" t="n"/>
      <c r="I368" s="106" t="n"/>
      <c r="J368" s="99" t="n"/>
      <c r="K368" s="106" t="n"/>
      <c r="L368" s="102" t="n"/>
      <c r="M368" s="106" t="n"/>
    </row>
    <row r="369">
      <c r="A369" s="106" t="n"/>
      <c r="B369" s="106" t="n"/>
      <c r="C369" s="106" t="n"/>
      <c r="D369" s="106" t="n"/>
      <c r="E369" s="106" t="n"/>
      <c r="F369" s="106" t="n"/>
      <c r="G369" s="101" t="n"/>
      <c r="H369" s="106" t="n"/>
      <c r="I369" s="106" t="n"/>
      <c r="J369" s="106" t="n"/>
      <c r="K369" s="106" t="n"/>
      <c r="L369" s="106" t="n"/>
      <c r="M369" s="106" t="n"/>
    </row>
    <row r="370">
      <c r="A370" s="93" t="n"/>
      <c r="B370" s="93" t="n"/>
      <c r="C370" s="93" t="n"/>
      <c r="D370" s="93" t="n"/>
      <c r="E370" s="93" t="n"/>
      <c r="F370" s="93" t="n"/>
      <c r="G370" s="94" t="n"/>
      <c r="H370" s="93" t="n"/>
      <c r="I370" s="93" t="n"/>
      <c r="J370" s="93" t="n"/>
      <c r="K370" s="93" t="n"/>
      <c r="L370" s="93" t="n"/>
      <c r="M370" s="93" t="n"/>
    </row>
    <row r="371">
      <c r="A371" s="99" t="n"/>
      <c r="B371" s="100" t="n"/>
      <c r="C371" s="99" t="n"/>
      <c r="D371" s="100" t="n"/>
      <c r="E371" s="99" t="n"/>
      <c r="F371" s="100" t="n"/>
      <c r="G371" s="101" t="n"/>
      <c r="H371" s="99" t="n"/>
      <c r="I371" s="100" t="n"/>
      <c r="J371" s="99" t="n"/>
      <c r="K371" s="100" t="n"/>
      <c r="L371" s="99" t="n"/>
      <c r="M371" s="100" t="n"/>
    </row>
    <row r="372">
      <c r="A372" s="99" t="n"/>
      <c r="B372" s="100" t="n"/>
      <c r="C372" s="99" t="n"/>
      <c r="D372" s="100" t="n"/>
      <c r="E372" s="102" t="n"/>
      <c r="F372" s="100" t="n"/>
      <c r="G372" s="101" t="n"/>
      <c r="H372" s="99" t="n"/>
      <c r="I372" s="100" t="n"/>
      <c r="J372" s="99" t="n"/>
      <c r="K372" s="100" t="n"/>
      <c r="L372" s="102" t="n"/>
      <c r="M372" s="100" t="n"/>
    </row>
    <row r="373">
      <c r="A373" s="99" t="n"/>
      <c r="B373" s="100" t="n"/>
      <c r="C373" s="99" t="n"/>
      <c r="D373" s="100" t="n"/>
      <c r="E373" s="102" t="n"/>
      <c r="F373" s="100" t="n"/>
      <c r="G373" s="101" t="n"/>
      <c r="H373" s="99" t="n"/>
      <c r="I373" s="100" t="n"/>
      <c r="J373" s="99" t="n"/>
      <c r="K373" s="100" t="n"/>
      <c r="L373" s="102" t="n"/>
      <c r="M373" s="100" t="n"/>
    </row>
    <row r="374">
      <c r="A374" s="102" t="n"/>
      <c r="B374" s="100" t="n"/>
      <c r="C374" s="102" t="n"/>
      <c r="D374" s="100" t="n"/>
      <c r="E374" s="99" t="n"/>
      <c r="F374" s="100" t="n"/>
      <c r="G374" s="101" t="n"/>
      <c r="H374" s="102" t="n"/>
      <c r="I374" s="100" t="n"/>
      <c r="J374" s="102" t="n"/>
      <c r="K374" s="100" t="n"/>
      <c r="L374" s="99" t="n"/>
      <c r="M374" s="100" t="n"/>
    </row>
    <row r="375">
      <c r="A375" s="95" t="n"/>
      <c r="B375" s="97" t="n"/>
      <c r="C375" s="95" t="n"/>
      <c r="D375" s="97" t="n"/>
      <c r="E375" s="95" t="n"/>
      <c r="F375" s="97" t="n"/>
      <c r="G375" s="94" t="n"/>
      <c r="H375" s="95" t="n"/>
      <c r="I375" s="97" t="n"/>
      <c r="J375" s="95" t="n"/>
      <c r="K375" s="97" t="n"/>
      <c r="L375" s="95" t="n"/>
      <c r="M375" s="97" t="n"/>
    </row>
    <row r="376">
      <c r="A376" s="93" t="n"/>
      <c r="B376" s="93" t="n"/>
      <c r="C376" s="93" t="n"/>
      <c r="D376" s="93" t="n"/>
      <c r="E376" s="93" t="n"/>
      <c r="F376" s="93" t="n"/>
      <c r="G376" s="94" t="n"/>
      <c r="H376" s="93" t="n"/>
      <c r="I376" s="93" t="n"/>
      <c r="J376" s="93" t="n"/>
      <c r="K376" s="93" t="n"/>
      <c r="L376" s="93" t="n"/>
      <c r="M376" s="93" t="n"/>
    </row>
    <row r="377">
      <c r="A377" s="93" t="n"/>
      <c r="B377" s="93" t="n"/>
      <c r="C377" s="93" t="n"/>
      <c r="D377" s="93" t="n"/>
      <c r="E377" s="93" t="n"/>
      <c r="F377" s="93" t="n"/>
      <c r="G377" s="94" t="n"/>
      <c r="H377" s="93" t="n"/>
      <c r="I377" s="93" t="n"/>
      <c r="J377" s="93" t="n"/>
      <c r="K377" s="93" t="n"/>
      <c r="L377" s="93" t="n"/>
      <c r="M377" s="93" t="n"/>
    </row>
    <row r="378">
      <c r="A378" s="96" t="n"/>
      <c r="B378" s="97" t="n"/>
      <c r="C378" s="96" t="n"/>
      <c r="D378" s="97" t="n"/>
      <c r="E378" s="96" t="n"/>
      <c r="F378" s="97" t="n"/>
      <c r="G378" s="94" t="n"/>
      <c r="H378" s="96" t="n"/>
      <c r="I378" s="97" t="n"/>
      <c r="J378" s="96" t="n"/>
      <c r="K378" s="97" t="n"/>
      <c r="L378" s="96" t="n"/>
      <c r="M378" s="97" t="n"/>
    </row>
    <row r="379">
      <c r="A379" s="93" t="n"/>
      <c r="B379" s="93" t="n"/>
      <c r="C379" s="93" t="n"/>
      <c r="D379" s="93" t="n"/>
      <c r="E379" s="93" t="n"/>
      <c r="F379" s="93" t="n"/>
      <c r="G379" s="94" t="n"/>
      <c r="H379" s="93" t="n"/>
      <c r="I379" s="93" t="n"/>
      <c r="J379" s="93" t="n"/>
      <c r="K379" s="93" t="n"/>
      <c r="L379" s="93" t="n"/>
      <c r="M379" s="93" t="n"/>
    </row>
    <row r="380">
      <c r="A380" s="95" t="n"/>
      <c r="B380" s="97" t="n"/>
      <c r="C380" s="95" t="n"/>
      <c r="D380" s="97" t="n"/>
      <c r="E380" s="95" t="n"/>
      <c r="F380" s="97" t="n"/>
      <c r="G380" s="94" t="n"/>
      <c r="H380" s="95" t="n"/>
      <c r="I380" s="97" t="n"/>
      <c r="J380" s="95" t="n"/>
      <c r="K380" s="97" t="n"/>
      <c r="L380" s="95" t="n"/>
      <c r="M380" s="97" t="n"/>
    </row>
    <row r="381">
      <c r="A381" s="93" t="n"/>
      <c r="B381" s="93" t="n"/>
      <c r="C381" s="93" t="n"/>
      <c r="D381" s="93" t="n"/>
      <c r="E381" s="93" t="n"/>
      <c r="F381" s="93" t="n"/>
      <c r="G381" s="94" t="n"/>
      <c r="H381" s="93" t="n"/>
      <c r="I381" s="93" t="n"/>
      <c r="J381" s="93" t="n"/>
      <c r="K381" s="93" t="n"/>
      <c r="L381" s="93" t="n"/>
      <c r="M381" s="93" t="n"/>
    </row>
    <row r="382">
      <c r="A382" s="93" t="n"/>
      <c r="B382" s="93" t="n"/>
      <c r="C382" s="93" t="n"/>
      <c r="D382" s="93" t="n"/>
      <c r="E382" s="93" t="n"/>
      <c r="F382" s="93" t="n"/>
      <c r="G382" s="94" t="n"/>
      <c r="H382" s="93" t="n"/>
      <c r="I382" s="93" t="n"/>
      <c r="J382" s="93" t="n"/>
      <c r="K382" s="93" t="n"/>
      <c r="L382" s="93" t="n"/>
      <c r="M382" s="93" t="n"/>
    </row>
    <row r="383">
      <c r="A383" s="102" t="n"/>
      <c r="B383" s="100" t="n"/>
      <c r="C383" s="102" t="n"/>
      <c r="D383" s="100" t="n"/>
      <c r="E383" s="102" t="n"/>
      <c r="F383" s="100" t="n"/>
      <c r="G383" s="101" t="n"/>
      <c r="H383" s="102" t="n"/>
      <c r="I383" s="100" t="n"/>
      <c r="J383" s="102" t="n"/>
      <c r="K383" s="100" t="n"/>
      <c r="L383" s="102" t="n"/>
      <c r="M383" s="100" t="n"/>
    </row>
    <row r="384">
      <c r="A384" s="107" t="n"/>
      <c r="B384" s="107" t="n"/>
      <c r="C384" s="107" t="n"/>
      <c r="D384" s="107" t="n"/>
      <c r="E384" s="107" t="n"/>
      <c r="F384" s="90" t="n"/>
      <c r="G384" s="90" t="n"/>
      <c r="H384" s="90" t="n"/>
      <c r="I384" s="90" t="n"/>
      <c r="J384" s="90" t="n"/>
      <c r="K384" s="90" t="n"/>
      <c r="L384" s="90" t="n"/>
      <c r="M384" s="90" t="n"/>
    </row>
    <row r="385">
      <c r="A385" s="90" t="n"/>
      <c r="B385" s="90" t="n"/>
      <c r="C385" s="90" t="n"/>
      <c r="D385" s="90" t="n"/>
      <c r="E385" s="90" t="n"/>
      <c r="F385" s="91" t="n"/>
      <c r="G385" s="91" t="n"/>
      <c r="H385" s="91" t="n"/>
      <c r="I385" s="91" t="n"/>
      <c r="J385" s="90" t="n"/>
      <c r="K385" s="90" t="n"/>
      <c r="L385" s="90" t="n"/>
      <c r="M385" s="90" t="n"/>
    </row>
    <row r="386">
      <c r="A386" s="90" t="n"/>
      <c r="B386" s="90" t="n"/>
      <c r="C386" s="90" t="n"/>
      <c r="D386" s="90" t="n"/>
      <c r="E386" s="90" t="n"/>
      <c r="F386" s="91" t="n"/>
      <c r="G386" s="91" t="n"/>
      <c r="H386" s="91" t="n"/>
      <c r="I386" s="91" t="n"/>
      <c r="J386" s="90" t="n"/>
      <c r="K386" s="90" t="n"/>
      <c r="L386" s="90" t="n"/>
      <c r="M386" s="90" t="n"/>
    </row>
    <row r="387">
      <c r="A387" s="90" t="n"/>
      <c r="B387" s="90" t="n"/>
      <c r="C387" s="90" t="n"/>
      <c r="D387" s="90" t="n"/>
      <c r="E387" s="90" t="n"/>
      <c r="F387" s="91" t="n"/>
      <c r="G387" s="91" t="n"/>
      <c r="H387" s="91" t="n"/>
      <c r="I387" s="91" t="n"/>
      <c r="J387" s="90" t="n"/>
      <c r="K387" s="90" t="n"/>
      <c r="L387" s="90" t="n"/>
      <c r="M387" s="90" t="n"/>
    </row>
    <row r="388">
      <c r="A388" s="92" t="n"/>
      <c r="B388" s="92" t="n"/>
      <c r="C388" s="92" t="n"/>
      <c r="D388" s="92" t="n"/>
      <c r="E388" s="92" t="n"/>
      <c r="F388" s="92" t="n"/>
      <c r="H388" s="92" t="n"/>
      <c r="I388" s="92" t="n"/>
      <c r="J388" s="92" t="n"/>
      <c r="K388" s="92" t="n"/>
      <c r="L388" s="92" t="n"/>
      <c r="M388" s="92" t="n"/>
    </row>
    <row r="389">
      <c r="A389" s="102" t="n"/>
      <c r="B389" s="100" t="n"/>
      <c r="C389" s="102" t="n"/>
      <c r="D389" s="100" t="n"/>
      <c r="E389" s="102" t="n"/>
      <c r="F389" s="100" t="n"/>
      <c r="G389" s="101" t="n"/>
      <c r="H389" s="102" t="n"/>
      <c r="I389" s="100" t="n"/>
      <c r="J389" s="102" t="n"/>
      <c r="K389" s="100" t="n"/>
      <c r="L389" s="102" t="n"/>
      <c r="M389" s="100" t="n"/>
    </row>
    <row r="390">
      <c r="A390" s="102" t="n"/>
      <c r="B390" s="100" t="n"/>
      <c r="C390" s="102" t="n"/>
      <c r="D390" s="100" t="n"/>
      <c r="E390" s="102" t="n"/>
      <c r="F390" s="100" t="n"/>
      <c r="G390" s="101" t="n"/>
      <c r="H390" s="102" t="n"/>
      <c r="I390" s="100" t="n"/>
      <c r="J390" s="102" t="n"/>
      <c r="K390" s="100" t="n"/>
      <c r="L390" s="102" t="n"/>
      <c r="M390" s="100" t="n"/>
    </row>
    <row r="391">
      <c r="A391" s="102" t="n"/>
      <c r="B391" s="100" t="n"/>
      <c r="C391" s="102" t="n"/>
      <c r="D391" s="100" t="n"/>
      <c r="E391" s="102" t="n"/>
      <c r="F391" s="100" t="n"/>
      <c r="G391" s="101" t="n"/>
      <c r="H391" s="102" t="n"/>
      <c r="I391" s="100" t="n"/>
      <c r="J391" s="102" t="n"/>
      <c r="K391" s="100" t="n"/>
      <c r="L391" s="102" t="n"/>
      <c r="M391" s="100" t="n"/>
    </row>
    <row r="392">
      <c r="A392" s="102" t="n"/>
      <c r="B392" s="100" t="n"/>
      <c r="C392" s="102" t="n"/>
      <c r="D392" s="100" t="n"/>
      <c r="E392" s="99" t="n"/>
      <c r="F392" s="100" t="n"/>
      <c r="G392" s="101" t="n"/>
      <c r="H392" s="102" t="n"/>
      <c r="I392" s="100" t="n"/>
      <c r="J392" s="102" t="n"/>
      <c r="K392" s="100" t="n"/>
      <c r="L392" s="99" t="n"/>
      <c r="M392" s="100" t="n"/>
    </row>
    <row r="393">
      <c r="A393" s="102" t="n"/>
      <c r="B393" s="100" t="n"/>
      <c r="C393" s="102" t="n"/>
      <c r="D393" s="100" t="n"/>
      <c r="E393" s="102" t="n"/>
      <c r="F393" s="100" t="n"/>
      <c r="G393" s="101" t="n"/>
      <c r="H393" s="102" t="n"/>
      <c r="I393" s="100" t="n"/>
      <c r="J393" s="102" t="n"/>
      <c r="K393" s="100" t="n"/>
      <c r="L393" s="102" t="n"/>
      <c r="M393" s="100" t="n"/>
    </row>
    <row r="394">
      <c r="A394" s="102" t="n"/>
      <c r="B394" s="100" t="n"/>
      <c r="C394" s="102" t="n"/>
      <c r="D394" s="100" t="n"/>
      <c r="E394" s="102" t="n"/>
      <c r="F394" s="100" t="n"/>
      <c r="G394" s="101" t="n"/>
      <c r="H394" s="102" t="n"/>
      <c r="I394" s="100" t="n"/>
      <c r="J394" s="102" t="n"/>
      <c r="K394" s="100" t="n"/>
      <c r="L394" s="102" t="n"/>
      <c r="M394" s="100" t="n"/>
    </row>
    <row r="395">
      <c r="A395" s="102" t="n"/>
      <c r="B395" s="100" t="n"/>
      <c r="C395" s="102" t="n"/>
      <c r="D395" s="100" t="n"/>
      <c r="E395" s="102" t="n"/>
      <c r="F395" s="100" t="n"/>
      <c r="G395" s="101" t="n"/>
      <c r="H395" s="102" t="n"/>
      <c r="I395" s="100" t="n"/>
      <c r="J395" s="102" t="n"/>
      <c r="K395" s="100" t="n"/>
      <c r="L395" s="102" t="n"/>
      <c r="M395" s="100" t="n"/>
    </row>
    <row r="396">
      <c r="A396" s="103" t="n"/>
      <c r="B396" s="103" t="n"/>
      <c r="C396" s="103" t="n"/>
      <c r="D396" s="103" t="n"/>
      <c r="E396" s="103" t="n"/>
      <c r="F396" s="103" t="n"/>
      <c r="G396" s="104" t="n"/>
      <c r="H396" s="103" t="n"/>
      <c r="I396" s="103" t="n"/>
      <c r="J396" s="103" t="n"/>
      <c r="K396" s="103" t="n"/>
      <c r="L396" s="103" t="n"/>
      <c r="M396" s="103" t="n"/>
    </row>
    <row r="397">
      <c r="A397" s="95" t="n"/>
      <c r="B397" s="97" t="n"/>
      <c r="C397" s="95" t="n"/>
      <c r="D397" s="97" t="n"/>
      <c r="E397" s="95" t="n"/>
      <c r="F397" s="97" t="n"/>
      <c r="G397" s="94" t="n"/>
      <c r="H397" s="95" t="n"/>
      <c r="I397" s="97" t="n"/>
      <c r="J397" s="95" t="n"/>
      <c r="K397" s="97" t="n"/>
      <c r="L397" s="95" t="n"/>
      <c r="M397" s="97" t="n"/>
    </row>
    <row r="398">
      <c r="A398" s="93" t="n"/>
      <c r="B398" s="93" t="n"/>
      <c r="C398" s="93" t="n"/>
      <c r="D398" s="93" t="n"/>
      <c r="E398" s="93" t="n"/>
      <c r="F398" s="93" t="n"/>
      <c r="G398" s="94" t="n"/>
      <c r="H398" s="93" t="n"/>
      <c r="I398" s="93" t="n"/>
      <c r="J398" s="93" t="n"/>
      <c r="K398" s="93" t="n"/>
      <c r="L398" s="93" t="n"/>
      <c r="M398" s="93" t="n"/>
    </row>
    <row r="399">
      <c r="A399" s="95" t="n"/>
      <c r="B399" s="97" t="n"/>
      <c r="C399" s="95" t="n"/>
      <c r="D399" s="97" t="n"/>
      <c r="E399" s="95" t="n"/>
      <c r="F399" s="97" t="n"/>
      <c r="G399" s="94" t="n"/>
      <c r="H399" s="95" t="n"/>
      <c r="I399" s="97" t="n"/>
      <c r="J399" s="95" t="n"/>
      <c r="K399" s="97" t="n"/>
      <c r="L399" s="95" t="n"/>
      <c r="M399" s="97" t="n"/>
    </row>
    <row r="400">
      <c r="A400" s="93" t="n"/>
      <c r="B400" s="93" t="n"/>
      <c r="C400" s="93" t="n"/>
      <c r="D400" s="93" t="n"/>
      <c r="E400" s="93" t="n"/>
      <c r="F400" s="93" t="n"/>
      <c r="G400" s="94" t="n"/>
      <c r="H400" s="93" t="n"/>
      <c r="I400" s="93" t="n"/>
      <c r="J400" s="93" t="n"/>
      <c r="K400" s="93" t="n"/>
      <c r="L400" s="93" t="n"/>
      <c r="M400" s="93" t="n"/>
    </row>
    <row r="401" ht="15" customHeight="1" s="54" thickBot="1">
      <c r="A401" s="105" t="n"/>
      <c r="B401" s="97" t="n"/>
      <c r="C401" s="105" t="n"/>
      <c r="D401" s="97" t="n"/>
      <c r="E401" s="105" t="n"/>
      <c r="F401" s="97" t="n"/>
      <c r="G401" s="94" t="n"/>
      <c r="H401" s="105" t="n"/>
      <c r="I401" s="97" t="n"/>
      <c r="J401" s="105" t="n"/>
      <c r="K401" s="97" t="n"/>
      <c r="L401" s="105" t="n"/>
      <c r="M401" s="97" t="n"/>
    </row>
    <row r="402" ht="15" customHeight="1" s="54" thickTop="1">
      <c r="A402" s="108" t="n"/>
      <c r="B402" s="108" t="n"/>
      <c r="C402" s="108" t="n"/>
      <c r="D402" s="108" t="n"/>
      <c r="E402" s="108" t="n"/>
      <c r="F402" s="108" t="n"/>
      <c r="G402" s="109" t="n"/>
      <c r="H402" s="108" t="n"/>
      <c r="I402" s="108" t="n"/>
      <c r="J402" s="108" t="n"/>
      <c r="K402" s="108" t="n"/>
      <c r="L402" s="108" t="n"/>
      <c r="M402" s="108" t="n"/>
    </row>
    <row r="403">
      <c r="A403" s="107" t="n"/>
      <c r="B403" s="107" t="n"/>
      <c r="C403" s="107" t="n"/>
      <c r="D403" s="107" t="n"/>
      <c r="E403" s="107" t="n"/>
      <c r="F403" s="90" t="n"/>
      <c r="G403" s="90" t="n"/>
      <c r="H403" s="90" t="n"/>
      <c r="I403" s="90" t="n"/>
      <c r="J403" s="90" t="n"/>
      <c r="K403" s="90" t="n"/>
      <c r="L403" s="90" t="n"/>
      <c r="M403" s="90" t="n"/>
    </row>
    <row r="404">
      <c r="A404" s="90" t="n"/>
      <c r="B404" s="90" t="n"/>
      <c r="C404" s="90" t="n"/>
      <c r="D404" s="90" t="n"/>
      <c r="E404" s="90" t="n"/>
      <c r="F404" s="91" t="n"/>
      <c r="G404" s="91" t="n"/>
      <c r="H404" s="91" t="n"/>
      <c r="I404" s="91" t="n"/>
      <c r="J404" s="90" t="n"/>
      <c r="K404" s="90" t="n"/>
      <c r="L404" s="90" t="n"/>
      <c r="M404" s="90" t="n"/>
    </row>
    <row r="405">
      <c r="A405" s="90" t="n"/>
      <c r="B405" s="90" t="n"/>
      <c r="C405" s="90" t="n"/>
      <c r="D405" s="90" t="n"/>
      <c r="E405" s="90" t="n"/>
      <c r="F405" s="91" t="n"/>
      <c r="G405" s="91" t="n"/>
      <c r="H405" s="91" t="n"/>
      <c r="I405" s="91" t="n"/>
      <c r="J405" s="90" t="n"/>
      <c r="K405" s="90" t="n"/>
      <c r="L405" s="90" t="n"/>
      <c r="M405" s="90" t="n"/>
    </row>
    <row r="406">
      <c r="A406" s="90" t="n"/>
      <c r="B406" s="90" t="n"/>
      <c r="C406" s="90" t="n"/>
      <c r="D406" s="90" t="n"/>
      <c r="E406" s="90" t="n"/>
      <c r="F406" s="91" t="n"/>
      <c r="G406" s="91" t="n"/>
      <c r="H406" s="91" t="n"/>
      <c r="I406" s="91" t="n"/>
      <c r="J406" s="90" t="n"/>
      <c r="K406" s="90" t="n"/>
      <c r="L406" s="90" t="n"/>
      <c r="M406" s="90" t="n"/>
    </row>
    <row r="407">
      <c r="A407" s="92" t="n"/>
      <c r="B407" s="92" t="n"/>
      <c r="C407" s="92" t="n"/>
      <c r="D407" s="92" t="n"/>
      <c r="E407" s="92" t="n"/>
      <c r="F407" s="92" t="n"/>
      <c r="H407" s="92" t="n"/>
      <c r="I407" s="92" t="n"/>
      <c r="J407" s="92" t="n"/>
      <c r="K407" s="92" t="n"/>
      <c r="L407" s="92" t="n"/>
      <c r="M407" s="92" t="n"/>
    </row>
    <row r="408">
      <c r="A408" s="93" t="n"/>
      <c r="B408" s="93" t="n"/>
      <c r="C408" s="93" t="n"/>
      <c r="D408" s="93" t="n"/>
      <c r="E408" s="93" t="n"/>
      <c r="F408" s="93" t="n"/>
      <c r="G408" s="94" t="n"/>
      <c r="H408" s="93" t="n"/>
      <c r="I408" s="93" t="n"/>
      <c r="J408" s="93" t="n"/>
      <c r="K408" s="93" t="n"/>
      <c r="L408" s="93" t="n"/>
      <c r="M408" s="93" t="n"/>
    </row>
    <row r="409">
      <c r="A409" s="93" t="n"/>
      <c r="B409" s="93" t="n"/>
      <c r="C409" s="93" t="n"/>
      <c r="D409" s="93" t="n"/>
      <c r="E409" s="93" t="n"/>
      <c r="F409" s="93" t="n"/>
      <c r="G409" s="94" t="n"/>
      <c r="H409" s="93" t="n"/>
      <c r="I409" s="93" t="n"/>
      <c r="J409" s="93" t="n"/>
      <c r="K409" s="93" t="n"/>
      <c r="L409" s="93" t="n"/>
      <c r="M409" s="93" t="n"/>
    </row>
    <row r="410">
      <c r="A410" s="93" t="n"/>
      <c r="B410" s="93" t="n"/>
      <c r="C410" s="93" t="n"/>
      <c r="D410" s="93" t="n"/>
      <c r="E410" s="93" t="n"/>
      <c r="F410" s="93" t="n"/>
      <c r="G410" s="94" t="n"/>
      <c r="H410" s="93" t="n"/>
      <c r="I410" s="93" t="n"/>
      <c r="J410" s="93" t="n"/>
      <c r="K410" s="93" t="n"/>
      <c r="L410" s="93" t="n"/>
      <c r="M410" s="93" t="n"/>
    </row>
    <row r="411">
      <c r="A411" s="99" t="n"/>
      <c r="B411" s="100" t="n"/>
      <c r="C411" s="99" t="n"/>
      <c r="D411" s="100" t="n"/>
      <c r="E411" s="102" t="n"/>
      <c r="F411" s="100" t="n"/>
      <c r="G411" s="101" t="n"/>
      <c r="H411" s="99" t="n"/>
      <c r="I411" s="100" t="n"/>
      <c r="J411" s="99" t="n"/>
      <c r="K411" s="100" t="n"/>
      <c r="L411" s="102" t="n"/>
      <c r="M411" s="100" t="n"/>
    </row>
    <row r="412">
      <c r="A412" s="95" t="n"/>
      <c r="B412" s="97" t="n"/>
      <c r="C412" s="95" t="n"/>
      <c r="D412" s="97" t="n"/>
      <c r="E412" s="96" t="n"/>
      <c r="F412" s="97" t="n"/>
      <c r="G412" s="94" t="n"/>
      <c r="H412" s="95" t="n"/>
      <c r="I412" s="97" t="n"/>
      <c r="J412" s="95" t="n"/>
      <c r="K412" s="97" t="n"/>
      <c r="L412" s="96" t="n"/>
      <c r="M412" s="97" t="n"/>
    </row>
    <row r="413">
      <c r="A413" s="99" t="n"/>
      <c r="B413" s="100" t="n"/>
      <c r="C413" s="99" t="n"/>
      <c r="D413" s="100" t="n"/>
      <c r="E413" s="99" t="n"/>
      <c r="F413" s="100" t="n"/>
      <c r="G413" s="101" t="n"/>
      <c r="H413" s="99" t="n"/>
      <c r="I413" s="100" t="n"/>
      <c r="J413" s="99" t="n"/>
      <c r="K413" s="100" t="n"/>
      <c r="L413" s="99" t="n"/>
      <c r="M413" s="100" t="n"/>
    </row>
    <row r="414">
      <c r="A414" s="99" t="n"/>
      <c r="B414" s="100" t="n"/>
      <c r="C414" s="99" t="n"/>
      <c r="D414" s="100" t="n"/>
      <c r="E414" s="99" t="n"/>
      <c r="F414" s="100" t="n"/>
      <c r="G414" s="101" t="n"/>
      <c r="H414" s="99" t="n"/>
      <c r="I414" s="100" t="n"/>
      <c r="J414" s="99" t="n"/>
      <c r="K414" s="100" t="n"/>
      <c r="L414" s="99" t="n"/>
      <c r="M414" s="100" t="n"/>
    </row>
    <row r="415">
      <c r="A415" s="102" t="n"/>
      <c r="B415" s="100" t="n"/>
      <c r="C415" s="102" t="n"/>
      <c r="D415" s="100" t="n"/>
      <c r="E415" s="102" t="n"/>
      <c r="F415" s="100" t="n"/>
      <c r="G415" s="101" t="n"/>
      <c r="H415" s="102" t="n"/>
      <c r="I415" s="100" t="n"/>
      <c r="J415" s="102" t="n"/>
      <c r="K415" s="100" t="n"/>
      <c r="L415" s="102" t="n"/>
      <c r="M415" s="100" t="n"/>
    </row>
    <row r="416">
      <c r="A416" s="95" t="n"/>
      <c r="B416" s="97" t="n"/>
      <c r="C416" s="95" t="n"/>
      <c r="D416" s="97" t="n"/>
      <c r="E416" s="95" t="n"/>
      <c r="F416" s="97" t="n"/>
      <c r="G416" s="94" t="n"/>
      <c r="H416" s="95" t="n"/>
      <c r="I416" s="97" t="n"/>
      <c r="J416" s="95" t="n"/>
      <c r="K416" s="97" t="n"/>
      <c r="L416" s="95" t="n"/>
      <c r="M416" s="97" t="n"/>
    </row>
    <row r="417">
      <c r="A417" s="111" t="n"/>
      <c r="B417" s="111" t="n"/>
      <c r="C417" s="111" t="n"/>
      <c r="D417" s="111" t="n"/>
      <c r="E417" s="111" t="n"/>
      <c r="F417" s="111" t="n"/>
      <c r="G417" s="112" t="n"/>
      <c r="H417" s="111" t="n"/>
      <c r="I417" s="111" t="n"/>
      <c r="J417" s="111" t="n"/>
      <c r="K417" s="111" t="n"/>
      <c r="L417" s="111" t="n"/>
      <c r="M417" s="111" t="n"/>
    </row>
    <row r="418">
      <c r="A418" s="95" t="n"/>
      <c r="B418" s="97" t="n"/>
      <c r="C418" s="95" t="n"/>
      <c r="D418" s="97" t="n"/>
      <c r="E418" s="95" t="n"/>
      <c r="F418" s="97" t="n"/>
      <c r="G418" s="94" t="n"/>
      <c r="H418" s="95" t="n"/>
      <c r="I418" s="97" t="n"/>
      <c r="J418" s="95" t="n"/>
      <c r="K418" s="97" t="n"/>
      <c r="L418" s="95" t="n"/>
      <c r="M418" s="97" t="n"/>
    </row>
    <row r="419">
      <c r="A419" s="93" t="n"/>
      <c r="B419" s="93" t="n"/>
      <c r="C419" s="93" t="n"/>
      <c r="D419" s="93" t="n"/>
      <c r="E419" s="93" t="n"/>
      <c r="F419" s="93" t="n"/>
      <c r="G419" s="94" t="n"/>
      <c r="H419" s="93" t="n"/>
      <c r="I419" s="93" t="n"/>
      <c r="J419" s="93" t="n"/>
      <c r="K419" s="93" t="n"/>
      <c r="L419" s="93" t="n"/>
      <c r="M419" s="93" t="n"/>
    </row>
    <row r="420">
      <c r="A420" s="93" t="n"/>
      <c r="B420" s="93" t="n"/>
      <c r="C420" s="93" t="n"/>
      <c r="D420" s="93" t="n"/>
      <c r="E420" s="93" t="n"/>
      <c r="F420" s="93" t="n"/>
      <c r="G420" s="94" t="n"/>
      <c r="H420" s="93" t="n"/>
      <c r="I420" s="93" t="n"/>
      <c r="J420" s="93" t="n"/>
      <c r="K420" s="93" t="n"/>
      <c r="L420" s="93" t="n"/>
      <c r="M420" s="93" t="n"/>
    </row>
    <row r="421">
      <c r="A421" s="99" t="n"/>
      <c r="B421" s="100" t="n"/>
      <c r="C421" s="99" t="n"/>
      <c r="D421" s="100" t="n"/>
      <c r="E421" s="102" t="n"/>
      <c r="F421" s="100" t="n"/>
      <c r="G421" s="101" t="n"/>
      <c r="H421" s="99" t="n"/>
      <c r="I421" s="100" t="n"/>
      <c r="J421" s="99" t="n"/>
      <c r="K421" s="100" t="n"/>
      <c r="L421" s="102" t="n"/>
      <c r="M421" s="100" t="n"/>
    </row>
    <row r="422">
      <c r="A422" s="99" t="n"/>
      <c r="B422" s="100" t="n"/>
      <c r="C422" s="99" t="n"/>
      <c r="D422" s="100" t="n"/>
      <c r="E422" s="102" t="n"/>
      <c r="F422" s="100" t="n"/>
      <c r="G422" s="101" t="n"/>
      <c r="H422" s="99" t="n"/>
      <c r="I422" s="100" t="n"/>
      <c r="J422" s="99" t="n"/>
      <c r="K422" s="100" t="n"/>
      <c r="L422" s="102" t="n"/>
      <c r="M422" s="100" t="n"/>
    </row>
    <row r="423">
      <c r="A423" s="99" t="n"/>
      <c r="B423" s="100" t="n"/>
      <c r="C423" s="99" t="n"/>
      <c r="D423" s="100" t="n"/>
      <c r="E423" s="102" t="n"/>
      <c r="F423" s="100" t="n"/>
      <c r="G423" s="101" t="n"/>
      <c r="H423" s="99" t="n"/>
      <c r="I423" s="100" t="n"/>
      <c r="J423" s="99" t="n"/>
      <c r="K423" s="100" t="n"/>
      <c r="L423" s="102" t="n"/>
      <c r="M423" s="100" t="n"/>
    </row>
    <row r="424">
      <c r="A424" s="102" t="n"/>
      <c r="B424" s="100" t="n"/>
      <c r="C424" s="102" t="n"/>
      <c r="D424" s="100" t="n"/>
      <c r="E424" s="102" t="n"/>
      <c r="F424" s="100" t="n"/>
      <c r="G424" s="101" t="n"/>
      <c r="H424" s="102" t="n"/>
      <c r="I424" s="100" t="n"/>
      <c r="J424" s="102" t="n"/>
      <c r="K424" s="100" t="n"/>
      <c r="L424" s="102" t="n"/>
      <c r="M424" s="100" t="n"/>
    </row>
    <row r="425">
      <c r="A425" s="103" t="n"/>
      <c r="B425" s="103" t="n"/>
      <c r="C425" s="103" t="n"/>
      <c r="D425" s="103" t="n"/>
      <c r="E425" s="103" t="n"/>
      <c r="F425" s="103" t="n"/>
      <c r="G425" s="104" t="n"/>
      <c r="H425" s="103" t="n"/>
      <c r="I425" s="103" t="n"/>
      <c r="J425" s="103" t="n"/>
      <c r="K425" s="103" t="n"/>
      <c r="L425" s="103" t="n"/>
      <c r="M425" s="103" t="n"/>
    </row>
    <row r="426">
      <c r="A426" s="95" t="n"/>
      <c r="B426" s="97" t="n"/>
      <c r="C426" s="95" t="n"/>
      <c r="D426" s="97" t="n"/>
      <c r="E426" s="95" t="n"/>
      <c r="F426" s="97" t="n"/>
      <c r="G426" s="94" t="n"/>
      <c r="H426" s="95" t="n"/>
      <c r="I426" s="97" t="n"/>
      <c r="J426" s="95" t="n"/>
      <c r="K426" s="97" t="n"/>
      <c r="L426" s="95" t="n"/>
      <c r="M426" s="97" t="n"/>
    </row>
    <row r="427">
      <c r="A427" s="93" t="n"/>
      <c r="B427" s="93" t="n"/>
      <c r="C427" s="93" t="n"/>
      <c r="D427" s="93" t="n"/>
      <c r="E427" s="93" t="n"/>
      <c r="F427" s="93" t="n"/>
      <c r="G427" s="94" t="n"/>
      <c r="H427" s="93" t="n"/>
      <c r="I427" s="93" t="n"/>
      <c r="J427" s="93" t="n"/>
      <c r="K427" s="93" t="n"/>
      <c r="L427" s="93" t="n"/>
      <c r="M427" s="93" t="n"/>
    </row>
    <row r="428">
      <c r="A428" s="95" t="n"/>
      <c r="B428" s="97" t="n"/>
      <c r="C428" s="95" t="n"/>
      <c r="D428" s="97" t="n"/>
      <c r="E428" s="95" t="n"/>
      <c r="F428" s="97" t="n"/>
      <c r="G428" s="94" t="n"/>
      <c r="H428" s="95" t="n"/>
      <c r="I428" s="97" t="n"/>
      <c r="J428" s="95" t="n"/>
      <c r="K428" s="97" t="n"/>
      <c r="L428" s="95" t="n"/>
      <c r="M428" s="97" t="n"/>
    </row>
    <row r="429">
      <c r="A429" s="93" t="n"/>
      <c r="B429" s="93" t="n"/>
      <c r="C429" s="93" t="n"/>
      <c r="D429" s="93" t="n"/>
      <c r="E429" s="93" t="n"/>
      <c r="F429" s="93" t="n"/>
      <c r="G429" s="94" t="n"/>
      <c r="H429" s="93" t="n"/>
      <c r="I429" s="93" t="n"/>
      <c r="J429" s="93" t="n"/>
      <c r="K429" s="93" t="n"/>
      <c r="L429" s="93" t="n"/>
      <c r="M429" s="93" t="n"/>
    </row>
    <row r="430">
      <c r="A430" s="93" t="n"/>
      <c r="B430" s="93" t="n"/>
      <c r="C430" s="93" t="n"/>
      <c r="D430" s="93" t="n"/>
      <c r="E430" s="93" t="n"/>
      <c r="F430" s="93" t="n"/>
      <c r="G430" s="94" t="n"/>
      <c r="H430" s="93" t="n"/>
      <c r="I430" s="93" t="n"/>
      <c r="J430" s="93" t="n"/>
      <c r="K430" s="93" t="n"/>
      <c r="L430" s="93" t="n"/>
      <c r="M430" s="93" t="n"/>
    </row>
    <row r="431">
      <c r="A431" s="93" t="n"/>
      <c r="B431" s="93" t="n"/>
      <c r="C431" s="93" t="n"/>
      <c r="D431" s="93" t="n"/>
      <c r="E431" s="93" t="n"/>
      <c r="F431" s="93" t="n"/>
      <c r="G431" s="94" t="n"/>
      <c r="H431" s="93" t="n"/>
      <c r="I431" s="93" t="n"/>
      <c r="J431" s="93" t="n"/>
      <c r="K431" s="93" t="n"/>
      <c r="L431" s="93" t="n"/>
      <c r="M431" s="93" t="n"/>
    </row>
    <row r="432">
      <c r="A432" s="93" t="n"/>
      <c r="B432" s="93" t="n"/>
      <c r="C432" s="93" t="n"/>
      <c r="D432" s="93" t="n"/>
      <c r="E432" s="93" t="n"/>
      <c r="F432" s="93" t="n"/>
      <c r="G432" s="94" t="n"/>
      <c r="H432" s="93" t="n"/>
      <c r="I432" s="93" t="n"/>
      <c r="J432" s="93" t="n"/>
      <c r="K432" s="93" t="n"/>
      <c r="L432" s="93" t="n"/>
      <c r="M432" s="93" t="n"/>
    </row>
    <row r="433">
      <c r="A433" s="93" t="n"/>
      <c r="B433" s="93" t="n"/>
      <c r="C433" s="93" t="n"/>
      <c r="D433" s="93" t="n"/>
      <c r="E433" s="93" t="n"/>
      <c r="F433" s="93" t="n"/>
      <c r="G433" s="94" t="n"/>
      <c r="H433" s="93" t="n"/>
      <c r="I433" s="93" t="n"/>
      <c r="J433" s="93" t="n"/>
      <c r="K433" s="93" t="n"/>
      <c r="L433" s="93" t="n"/>
      <c r="M433" s="93" t="n"/>
    </row>
    <row r="434">
      <c r="A434" s="99" t="n"/>
      <c r="B434" s="100" t="n"/>
      <c r="C434" s="99" t="n"/>
      <c r="D434" s="100" t="n"/>
      <c r="E434" s="102" t="n"/>
      <c r="F434" s="100" t="n"/>
      <c r="G434" s="101" t="n"/>
      <c r="H434" s="99" t="n"/>
      <c r="I434" s="100" t="n"/>
      <c r="J434" s="99" t="n"/>
      <c r="K434" s="100" t="n"/>
      <c r="L434" s="102" t="n"/>
      <c r="M434" s="100" t="n"/>
    </row>
    <row r="435">
      <c r="A435" s="99" t="n"/>
      <c r="B435" s="100" t="n"/>
      <c r="C435" s="99" t="n"/>
      <c r="D435" s="100" t="n"/>
      <c r="E435" s="102" t="n"/>
      <c r="F435" s="100" t="n"/>
      <c r="G435" s="101" t="n"/>
      <c r="H435" s="99" t="n"/>
      <c r="I435" s="100" t="n"/>
      <c r="J435" s="99" t="n"/>
      <c r="K435" s="100" t="n"/>
      <c r="L435" s="102" t="n"/>
      <c r="M435" s="100" t="n"/>
    </row>
    <row r="436">
      <c r="A436" s="95" t="n"/>
      <c r="B436" s="97" t="n"/>
      <c r="C436" s="95" t="n"/>
      <c r="D436" s="97" t="n"/>
      <c r="E436" s="96" t="n"/>
      <c r="F436" s="97" t="n"/>
      <c r="G436" s="94" t="n"/>
      <c r="H436" s="95" t="n"/>
      <c r="I436" s="97" t="n"/>
      <c r="J436" s="95" t="n"/>
      <c r="K436" s="97" t="n"/>
      <c r="L436" s="96" t="n"/>
      <c r="M436" s="97" t="n"/>
    </row>
    <row r="437">
      <c r="A437" s="93" t="n"/>
      <c r="B437" s="93" t="n"/>
      <c r="C437" s="93" t="n"/>
      <c r="D437" s="93" t="n"/>
      <c r="E437" s="93" t="n"/>
      <c r="F437" s="93" t="n"/>
      <c r="G437" s="94" t="n"/>
      <c r="H437" s="93" t="n"/>
      <c r="I437" s="93" t="n"/>
      <c r="J437" s="93" t="n"/>
      <c r="K437" s="93" t="n"/>
      <c r="L437" s="93" t="n"/>
      <c r="M437" s="93" t="n"/>
    </row>
    <row r="438">
      <c r="A438" s="93" t="n"/>
      <c r="B438" s="93" t="n"/>
      <c r="C438" s="93" t="n"/>
      <c r="D438" s="93" t="n"/>
      <c r="E438" s="93" t="n"/>
      <c r="F438" s="93" t="n"/>
      <c r="G438" s="94" t="n"/>
      <c r="H438" s="93" t="n"/>
      <c r="I438" s="93" t="n"/>
      <c r="J438" s="93" t="n"/>
      <c r="K438" s="93" t="n"/>
      <c r="L438" s="93" t="n"/>
      <c r="M438" s="93" t="n"/>
    </row>
    <row r="439">
      <c r="A439" s="99" t="n"/>
      <c r="B439" s="100" t="n"/>
      <c r="C439" s="99" t="n"/>
      <c r="D439" s="100" t="n"/>
      <c r="E439" s="102" t="n"/>
      <c r="F439" s="100" t="n"/>
      <c r="G439" s="101" t="n"/>
      <c r="H439" s="99" t="n"/>
      <c r="I439" s="100" t="n"/>
      <c r="J439" s="99" t="n"/>
      <c r="K439" s="100" t="n"/>
      <c r="L439" s="102" t="n"/>
      <c r="M439" s="100" t="n"/>
    </row>
    <row r="440">
      <c r="A440" s="95" t="n"/>
      <c r="B440" s="97" t="n"/>
      <c r="C440" s="95" t="n"/>
      <c r="D440" s="97" t="n"/>
      <c r="E440" s="96" t="n"/>
      <c r="F440" s="97" t="n"/>
      <c r="G440" s="94" t="n"/>
      <c r="H440" s="95" t="n"/>
      <c r="I440" s="97" t="n"/>
      <c r="J440" s="95" t="n"/>
      <c r="K440" s="97" t="n"/>
      <c r="L440" s="96" t="n"/>
      <c r="M440" s="97" t="n"/>
    </row>
    <row r="441">
      <c r="A441" s="93" t="n"/>
      <c r="B441" s="93" t="n"/>
      <c r="C441" s="93" t="n"/>
      <c r="D441" s="93" t="n"/>
      <c r="E441" s="93" t="n"/>
      <c r="F441" s="93" t="n"/>
      <c r="G441" s="94" t="n"/>
      <c r="H441" s="93" t="n"/>
      <c r="I441" s="93" t="n"/>
      <c r="J441" s="93" t="n"/>
      <c r="K441" s="93" t="n"/>
      <c r="L441" s="93" t="n"/>
      <c r="M441" s="93" t="n"/>
    </row>
    <row r="442">
      <c r="A442" s="95" t="n"/>
      <c r="B442" s="97" t="n"/>
      <c r="C442" s="95" t="n"/>
      <c r="D442" s="97" t="n"/>
      <c r="E442" s="96" t="n"/>
      <c r="F442" s="97" t="n"/>
      <c r="G442" s="94" t="n"/>
      <c r="H442" s="95" t="n"/>
      <c r="I442" s="97" t="n"/>
      <c r="J442" s="95" t="n"/>
      <c r="K442" s="97" t="n"/>
      <c r="L442" s="96" t="n"/>
      <c r="M442" s="97" t="n"/>
    </row>
    <row r="443">
      <c r="A443" s="93" t="n"/>
      <c r="B443" s="93" t="n"/>
      <c r="C443" s="93" t="n"/>
      <c r="D443" s="93" t="n"/>
      <c r="E443" s="93" t="n"/>
      <c r="F443" s="93" t="n"/>
      <c r="G443" s="94" t="n"/>
      <c r="H443" s="93" t="n"/>
      <c r="I443" s="93" t="n"/>
      <c r="J443" s="93" t="n"/>
      <c r="K443" s="93" t="n"/>
      <c r="L443" s="93" t="n"/>
      <c r="M443" s="93" t="n"/>
    </row>
    <row r="444">
      <c r="A444" s="93" t="n"/>
      <c r="B444" s="93" t="n"/>
      <c r="C444" s="93" t="n"/>
      <c r="D444" s="93" t="n"/>
      <c r="E444" s="93" t="n"/>
      <c r="F444" s="93" t="n"/>
      <c r="G444" s="94" t="n"/>
      <c r="H444" s="93" t="n"/>
      <c r="I444" s="93" t="n"/>
      <c r="J444" s="93" t="n"/>
      <c r="K444" s="93" t="n"/>
      <c r="L444" s="93" t="n"/>
      <c r="M444" s="93" t="n"/>
    </row>
    <row r="445">
      <c r="A445" s="102" t="n"/>
      <c r="B445" s="100" t="n"/>
      <c r="C445" s="102" t="n"/>
      <c r="D445" s="100" t="n"/>
      <c r="E445" s="102" t="n"/>
      <c r="F445" s="100" t="n"/>
      <c r="G445" s="101" t="n"/>
      <c r="H445" s="102" t="n"/>
      <c r="I445" s="100" t="n"/>
      <c r="J445" s="102" t="n"/>
      <c r="K445" s="100" t="n"/>
      <c r="L445" s="102" t="n"/>
      <c r="M445" s="100" t="n"/>
    </row>
    <row r="446">
      <c r="A446" s="102" t="n"/>
      <c r="B446" s="100" t="n"/>
      <c r="C446" s="102" t="n"/>
      <c r="D446" s="100" t="n"/>
      <c r="E446" s="102" t="n"/>
      <c r="F446" s="100" t="n"/>
      <c r="G446" s="101" t="n"/>
      <c r="H446" s="102" t="n"/>
      <c r="I446" s="100" t="n"/>
      <c r="J446" s="102" t="n"/>
      <c r="K446" s="100" t="n"/>
      <c r="L446" s="102" t="n"/>
      <c r="M446" s="100" t="n"/>
    </row>
    <row r="447">
      <c r="A447" s="102" t="n"/>
      <c r="B447" s="100" t="n"/>
      <c r="C447" s="102" t="n"/>
      <c r="D447" s="100" t="n"/>
      <c r="E447" s="102" t="n"/>
      <c r="F447" s="100" t="n"/>
      <c r="G447" s="101" t="n"/>
      <c r="H447" s="102" t="n"/>
      <c r="I447" s="100" t="n"/>
      <c r="J447" s="102" t="n"/>
      <c r="K447" s="100" t="n"/>
      <c r="L447" s="102" t="n"/>
      <c r="M447" s="100" t="n"/>
    </row>
    <row r="448">
      <c r="A448" s="102" t="n"/>
      <c r="B448" s="100" t="n"/>
      <c r="C448" s="102" t="n"/>
      <c r="D448" s="100" t="n"/>
      <c r="E448" s="102" t="n"/>
      <c r="F448" s="100" t="n"/>
      <c r="G448" s="101" t="n"/>
      <c r="H448" s="102" t="n"/>
      <c r="I448" s="100" t="n"/>
      <c r="J448" s="102" t="n"/>
      <c r="K448" s="100" t="n"/>
      <c r="L448" s="102" t="n"/>
      <c r="M448" s="100" t="n"/>
    </row>
    <row r="449">
      <c r="A449" s="103" t="n"/>
      <c r="B449" s="103" t="n"/>
      <c r="C449" s="103" t="n"/>
      <c r="D449" s="103" t="n"/>
      <c r="E449" s="103" t="n"/>
      <c r="F449" s="103" t="n"/>
      <c r="G449" s="104" t="n"/>
      <c r="H449" s="103" t="n"/>
      <c r="I449" s="103" t="n"/>
      <c r="J449" s="103" t="n"/>
      <c r="K449" s="103" t="n"/>
      <c r="L449" s="103" t="n"/>
      <c r="M449" s="103" t="n"/>
    </row>
    <row r="450">
      <c r="A450" s="96" t="n"/>
      <c r="B450" s="97" t="n"/>
      <c r="C450" s="96" t="n"/>
      <c r="D450" s="97" t="n"/>
      <c r="E450" s="96" t="n"/>
      <c r="F450" s="97" t="n"/>
      <c r="G450" s="94" t="n"/>
      <c r="H450" s="96" t="n"/>
      <c r="I450" s="97" t="n"/>
      <c r="J450" s="96" t="n"/>
      <c r="K450" s="97" t="n"/>
      <c r="L450" s="96" t="n"/>
      <c r="M450" s="97" t="n"/>
    </row>
    <row r="451">
      <c r="A451" s="93" t="n"/>
      <c r="B451" s="93" t="n"/>
      <c r="C451" s="93" t="n"/>
      <c r="D451" s="93" t="n"/>
      <c r="E451" s="93" t="n"/>
      <c r="F451" s="93" t="n"/>
      <c r="G451" s="94" t="n"/>
      <c r="H451" s="93" t="n"/>
      <c r="I451" s="93" t="n"/>
      <c r="J451" s="93" t="n"/>
      <c r="K451" s="93" t="n"/>
      <c r="L451" s="93" t="n"/>
      <c r="M451" s="93" t="n"/>
    </row>
    <row r="452">
      <c r="A452" s="95" t="n"/>
      <c r="B452" s="97" t="n"/>
      <c r="C452" s="95" t="n"/>
      <c r="D452" s="97" t="n"/>
      <c r="E452" s="96" t="n"/>
      <c r="F452" s="97" t="n"/>
      <c r="G452" s="94" t="n"/>
      <c r="H452" s="95" t="n"/>
      <c r="I452" s="97" t="n"/>
      <c r="J452" s="95" t="n"/>
      <c r="K452" s="97" t="n"/>
      <c r="L452" s="96" t="n"/>
      <c r="M452" s="97" t="n"/>
    </row>
    <row r="453">
      <c r="A453" s="93" t="n"/>
      <c r="B453" s="93" t="n"/>
      <c r="C453" s="93" t="n"/>
      <c r="D453" s="93" t="n"/>
      <c r="E453" s="93" t="n"/>
      <c r="F453" s="93" t="n"/>
      <c r="G453" s="94" t="n"/>
      <c r="H453" s="93" t="n"/>
      <c r="I453" s="93" t="n"/>
      <c r="J453" s="93" t="n"/>
      <c r="K453" s="93" t="n"/>
      <c r="L453" s="93" t="n"/>
      <c r="M453" s="93" t="n"/>
    </row>
    <row r="454" ht="15" customHeight="1" s="54" thickBot="1">
      <c r="A454" s="95" t="n"/>
      <c r="B454" s="97" t="n"/>
      <c r="C454" s="95" t="n"/>
      <c r="D454" s="97" t="n"/>
      <c r="E454" s="95" t="n"/>
      <c r="F454" s="97" t="n"/>
      <c r="G454" s="94" t="n"/>
      <c r="H454" s="95" t="n"/>
      <c r="I454" s="97" t="n"/>
      <c r="J454" s="95" t="n"/>
      <c r="K454" s="97" t="n"/>
      <c r="L454" s="95" t="n"/>
      <c r="M454" s="97" t="n"/>
    </row>
    <row r="455" ht="15" customHeight="1" s="54" thickTop="1">
      <c r="A455" s="108" t="n"/>
      <c r="B455" s="108" t="n"/>
      <c r="C455" s="108" t="n"/>
      <c r="D455" s="108" t="n"/>
      <c r="E455" s="108" t="n"/>
      <c r="F455" s="108" t="n"/>
      <c r="G455" s="109" t="n"/>
      <c r="H455" s="108" t="n"/>
      <c r="I455" s="108" t="n"/>
      <c r="J455" s="108" t="n"/>
      <c r="K455" s="108" t="n"/>
      <c r="L455" s="108" t="n"/>
      <c r="M455" s="108" t="n"/>
    </row>
    <row r="456">
      <c r="A456" s="107" t="n"/>
      <c r="B456" s="107" t="n"/>
      <c r="C456" s="107" t="n"/>
      <c r="D456" s="107" t="n"/>
      <c r="E456" s="107" t="n"/>
      <c r="F456" s="90" t="n"/>
      <c r="G456" s="90" t="n"/>
      <c r="H456" s="90" t="n"/>
      <c r="I456" s="90" t="n"/>
      <c r="J456" s="90" t="n"/>
      <c r="K456" s="90" t="n"/>
      <c r="L456" s="90" t="n"/>
      <c r="M456" s="90" t="n"/>
    </row>
    <row r="457">
      <c r="A457" s="90" t="n"/>
      <c r="B457" s="90" t="n"/>
      <c r="C457" s="90" t="n"/>
      <c r="D457" s="90" t="n"/>
      <c r="E457" s="90" t="n"/>
      <c r="F457" s="91" t="n"/>
      <c r="G457" s="91" t="n"/>
      <c r="H457" s="91" t="n"/>
      <c r="I457" s="91" t="n"/>
      <c r="J457" s="90" t="n"/>
      <c r="K457" s="90" t="n"/>
      <c r="L457" s="90" t="n"/>
      <c r="M457" s="90" t="n"/>
    </row>
    <row r="458">
      <c r="A458" s="90" t="n"/>
      <c r="B458" s="90" t="n"/>
      <c r="C458" s="90" t="n"/>
      <c r="D458" s="90" t="n"/>
      <c r="E458" s="90" t="n"/>
      <c r="F458" s="91" t="n"/>
      <c r="G458" s="91" t="n"/>
      <c r="H458" s="91" t="n"/>
      <c r="I458" s="91" t="n"/>
      <c r="J458" s="90" t="n"/>
      <c r="K458" s="90" t="n"/>
      <c r="L458" s="90" t="n"/>
      <c r="M458" s="90" t="n"/>
    </row>
    <row r="459">
      <c r="A459" s="90" t="n"/>
      <c r="B459" s="90" t="n"/>
      <c r="C459" s="90" t="n"/>
      <c r="D459" s="90" t="n"/>
      <c r="E459" s="90" t="n"/>
      <c r="F459" s="91" t="n"/>
      <c r="G459" s="91" t="n"/>
      <c r="H459" s="91" t="n"/>
      <c r="I459" s="91" t="n"/>
      <c r="J459" s="90" t="n"/>
      <c r="K459" s="90" t="n"/>
      <c r="L459" s="90" t="n"/>
      <c r="M459" s="90" t="n"/>
    </row>
    <row r="460">
      <c r="A460" s="92" t="n"/>
      <c r="B460" s="92" t="n"/>
      <c r="C460" s="92" t="n"/>
      <c r="D460" s="92" t="n"/>
      <c r="E460" s="92" t="n"/>
      <c r="F460" s="92" t="n"/>
      <c r="H460" s="92" t="n"/>
      <c r="I460" s="92" t="n"/>
      <c r="J460" s="92" t="n"/>
      <c r="K460" s="92" t="n"/>
      <c r="L460" s="92" t="n"/>
      <c r="M460" s="92" t="n"/>
    </row>
    <row r="461">
      <c r="A461" s="93" t="n"/>
      <c r="B461" s="93" t="n"/>
      <c r="C461" s="93" t="n"/>
      <c r="D461" s="93" t="n"/>
      <c r="E461" s="93" t="n"/>
      <c r="F461" s="93" t="n"/>
      <c r="G461" s="94" t="n"/>
      <c r="H461" s="93" t="n"/>
      <c r="I461" s="93" t="n"/>
      <c r="J461" s="93" t="n"/>
      <c r="K461" s="93" t="n"/>
      <c r="L461" s="93" t="n"/>
      <c r="M461" s="93" t="n"/>
    </row>
    <row r="462">
      <c r="A462" s="93" t="n"/>
      <c r="B462" s="93" t="n"/>
      <c r="C462" s="93" t="n"/>
      <c r="D462" s="93" t="n"/>
      <c r="E462" s="93" t="n"/>
      <c r="F462" s="93" t="n"/>
      <c r="G462" s="94" t="n"/>
      <c r="H462" s="93" t="n"/>
      <c r="I462" s="93" t="n"/>
      <c r="J462" s="93" t="n"/>
      <c r="K462" s="93" t="n"/>
      <c r="L462" s="93" t="n"/>
      <c r="M462" s="93" t="n"/>
    </row>
    <row r="463">
      <c r="A463" s="93" t="n"/>
      <c r="B463" s="93" t="n"/>
      <c r="C463" s="93" t="n"/>
      <c r="D463" s="93" t="n"/>
      <c r="E463" s="93" t="n"/>
      <c r="F463" s="93" t="n"/>
      <c r="G463" s="94" t="n"/>
      <c r="H463" s="93" t="n"/>
      <c r="I463" s="93" t="n"/>
      <c r="J463" s="93" t="n"/>
      <c r="K463" s="93" t="n"/>
      <c r="L463" s="93" t="n"/>
      <c r="M463" s="93" t="n"/>
    </row>
    <row r="464">
      <c r="A464" s="102" t="n"/>
      <c r="B464" s="100" t="n"/>
      <c r="C464" s="102" t="n"/>
      <c r="D464" s="100" t="n"/>
      <c r="E464" s="102" t="n"/>
      <c r="F464" s="100" t="n"/>
      <c r="G464" s="101" t="n"/>
      <c r="H464" s="102" t="n"/>
      <c r="I464" s="100" t="n"/>
      <c r="J464" s="102" t="n"/>
      <c r="K464" s="100" t="n"/>
      <c r="L464" s="102" t="n"/>
      <c r="M464" s="100" t="n"/>
    </row>
    <row r="465">
      <c r="A465" s="96" t="n"/>
      <c r="B465" s="97" t="n"/>
      <c r="C465" s="96" t="n"/>
      <c r="D465" s="97" t="n"/>
      <c r="E465" s="96" t="n"/>
      <c r="F465" s="97" t="n"/>
      <c r="G465" s="94" t="n"/>
      <c r="H465" s="96" t="n"/>
      <c r="I465" s="97" t="n"/>
      <c r="J465" s="96" t="n"/>
      <c r="K465" s="97" t="n"/>
      <c r="L465" s="96" t="n"/>
      <c r="M465" s="97" t="n"/>
    </row>
    <row r="466">
      <c r="A466" s="99" t="n"/>
      <c r="B466" s="100" t="n"/>
      <c r="C466" s="99" t="n"/>
      <c r="D466" s="100" t="n"/>
      <c r="E466" s="99" t="n"/>
      <c r="F466" s="100" t="n"/>
      <c r="G466" s="101" t="n"/>
      <c r="H466" s="99" t="n"/>
      <c r="I466" s="100" t="n"/>
      <c r="J466" s="99" t="n"/>
      <c r="K466" s="100" t="n"/>
      <c r="L466" s="99" t="n"/>
      <c r="M466" s="100" t="n"/>
    </row>
    <row r="467">
      <c r="A467" s="99" t="n"/>
      <c r="B467" s="100" t="n"/>
      <c r="C467" s="99" t="n"/>
      <c r="D467" s="100" t="n"/>
      <c r="E467" s="99" t="n"/>
      <c r="F467" s="100" t="n"/>
      <c r="G467" s="101" t="n"/>
      <c r="H467" s="99" t="n"/>
      <c r="I467" s="100" t="n"/>
      <c r="J467" s="99" t="n"/>
      <c r="K467" s="100" t="n"/>
      <c r="L467" s="99" t="n"/>
      <c r="M467" s="100" t="n"/>
    </row>
    <row r="468">
      <c r="A468" s="102" t="n"/>
      <c r="B468" s="100" t="n"/>
      <c r="C468" s="102" t="n"/>
      <c r="D468" s="100" t="n"/>
      <c r="E468" s="102" t="n"/>
      <c r="F468" s="100" t="n"/>
      <c r="G468" s="101" t="n"/>
      <c r="H468" s="102" t="n"/>
      <c r="I468" s="100" t="n"/>
      <c r="J468" s="102" t="n"/>
      <c r="K468" s="100" t="n"/>
      <c r="L468" s="102" t="n"/>
      <c r="M468" s="100" t="n"/>
    </row>
    <row r="469">
      <c r="A469" s="95" t="n"/>
      <c r="B469" s="97" t="n"/>
      <c r="C469" s="95" t="n"/>
      <c r="D469" s="97" t="n"/>
      <c r="E469" s="95" t="n"/>
      <c r="F469" s="97" t="n"/>
      <c r="G469" s="94" t="n"/>
      <c r="H469" s="95" t="n"/>
      <c r="I469" s="97" t="n"/>
      <c r="J469" s="95" t="n"/>
      <c r="K469" s="97" t="n"/>
      <c r="L469" s="95" t="n"/>
      <c r="M469" s="97" t="n"/>
    </row>
    <row r="470">
      <c r="A470" s="93" t="n"/>
      <c r="B470" s="93" t="n"/>
      <c r="C470" s="93" t="n"/>
      <c r="D470" s="93" t="n"/>
      <c r="E470" s="93" t="n"/>
      <c r="F470" s="93" t="n"/>
      <c r="G470" s="94" t="n"/>
      <c r="H470" s="93" t="n"/>
      <c r="I470" s="93" t="n"/>
      <c r="J470" s="93" t="n"/>
      <c r="K470" s="93" t="n"/>
      <c r="L470" s="93" t="n"/>
      <c r="M470" s="93" t="n"/>
    </row>
    <row r="471">
      <c r="A471" s="95" t="n"/>
      <c r="B471" s="97" t="n"/>
      <c r="C471" s="95" t="n"/>
      <c r="D471" s="97" t="n"/>
      <c r="E471" s="95" t="n"/>
      <c r="F471" s="97" t="n"/>
      <c r="G471" s="94" t="n"/>
      <c r="H471" s="95" t="n"/>
      <c r="I471" s="97" t="n"/>
      <c r="J471" s="95" t="n"/>
      <c r="K471" s="97" t="n"/>
      <c r="L471" s="95" t="n"/>
      <c r="M471" s="97" t="n"/>
    </row>
    <row r="472">
      <c r="A472" s="93" t="n"/>
      <c r="B472" s="93" t="n"/>
      <c r="C472" s="93" t="n"/>
      <c r="D472" s="93" t="n"/>
      <c r="E472" s="93" t="n"/>
      <c r="F472" s="93" t="n"/>
      <c r="G472" s="94" t="n"/>
      <c r="H472" s="93" t="n"/>
      <c r="I472" s="93" t="n"/>
      <c r="J472" s="93" t="n"/>
      <c r="K472" s="93" t="n"/>
      <c r="L472" s="93" t="n"/>
      <c r="M472" s="93" t="n"/>
    </row>
    <row r="473">
      <c r="A473" s="93" t="n"/>
      <c r="B473" s="93" t="n"/>
      <c r="C473" s="93" t="n"/>
      <c r="D473" s="93" t="n"/>
      <c r="E473" s="93" t="n"/>
      <c r="F473" s="93" t="n"/>
      <c r="G473" s="94" t="n"/>
      <c r="H473" s="93" t="n"/>
      <c r="I473" s="93" t="n"/>
      <c r="J473" s="93" t="n"/>
      <c r="K473" s="93" t="n"/>
      <c r="L473" s="93" t="n"/>
      <c r="M473" s="93" t="n"/>
    </row>
    <row r="474">
      <c r="A474" s="110" t="n"/>
      <c r="B474" s="100" t="n"/>
      <c r="C474" s="110" t="n"/>
      <c r="D474" s="100" t="n"/>
      <c r="E474" s="102" t="n"/>
      <c r="F474" s="100" t="n"/>
      <c r="G474" s="101" t="n"/>
      <c r="H474" s="110" t="n"/>
      <c r="I474" s="100" t="n"/>
      <c r="J474" s="110" t="n"/>
      <c r="K474" s="100" t="n"/>
      <c r="L474" s="102" t="n"/>
      <c r="M474" s="100" t="n"/>
    </row>
    <row r="475">
      <c r="A475" s="102" t="n"/>
      <c r="B475" s="100" t="n"/>
      <c r="C475" s="102" t="n"/>
      <c r="D475" s="100" t="n"/>
      <c r="E475" s="102" t="n"/>
      <c r="F475" s="100" t="n"/>
      <c r="G475" s="101" t="n"/>
      <c r="H475" s="102" t="n"/>
      <c r="I475" s="100" t="n"/>
      <c r="J475" s="102" t="n"/>
      <c r="K475" s="100" t="n"/>
      <c r="L475" s="102" t="n"/>
      <c r="M475" s="100" t="n"/>
    </row>
    <row r="476">
      <c r="A476" s="99" t="n"/>
      <c r="B476" s="100" t="n"/>
      <c r="C476" s="99" t="n"/>
      <c r="D476" s="100" t="n"/>
      <c r="E476" s="102" t="n"/>
      <c r="F476" s="100" t="n"/>
      <c r="G476" s="101" t="n"/>
      <c r="H476" s="99" t="n"/>
      <c r="I476" s="100" t="n"/>
      <c r="J476" s="99" t="n"/>
      <c r="K476" s="100" t="n"/>
      <c r="L476" s="102" t="n"/>
      <c r="M476" s="100" t="n"/>
    </row>
    <row r="477">
      <c r="A477" s="102" t="n"/>
      <c r="B477" s="100" t="n"/>
      <c r="C477" s="102" t="n"/>
      <c r="D477" s="100" t="n"/>
      <c r="E477" s="102" t="n"/>
      <c r="F477" s="100" t="n"/>
      <c r="G477" s="101" t="n"/>
      <c r="H477" s="102" t="n"/>
      <c r="I477" s="100" t="n"/>
      <c r="J477" s="102" t="n"/>
      <c r="K477" s="100" t="n"/>
      <c r="L477" s="102" t="n"/>
      <c r="M477" s="100" t="n"/>
    </row>
    <row r="478">
      <c r="A478" s="103" t="n"/>
      <c r="B478" s="103" t="n"/>
      <c r="C478" s="103" t="n"/>
      <c r="D478" s="103" t="n"/>
      <c r="E478" s="103" t="n"/>
      <c r="F478" s="103" t="n"/>
      <c r="G478" s="104" t="n"/>
      <c r="H478" s="103" t="n"/>
      <c r="I478" s="103" t="n"/>
      <c r="J478" s="103" t="n"/>
      <c r="K478" s="103" t="n"/>
      <c r="L478" s="103" t="n"/>
      <c r="M478" s="103" t="n"/>
    </row>
    <row r="479">
      <c r="A479" s="95" t="n"/>
      <c r="B479" s="97" t="n"/>
      <c r="C479" s="95" t="n"/>
      <c r="D479" s="97" t="n"/>
      <c r="E479" s="96" t="n"/>
      <c r="F479" s="97" t="n"/>
      <c r="G479" s="94" t="n"/>
      <c r="H479" s="95" t="n"/>
      <c r="I479" s="97" t="n"/>
      <c r="J479" s="95" t="n"/>
      <c r="K479" s="97" t="n"/>
      <c r="L479" s="96" t="n"/>
      <c r="M479" s="97" t="n"/>
    </row>
    <row r="480">
      <c r="A480" s="93" t="n"/>
      <c r="B480" s="93" t="n"/>
      <c r="C480" s="93" t="n"/>
      <c r="D480" s="93" t="n"/>
      <c r="E480" s="93" t="n"/>
      <c r="F480" s="93" t="n"/>
      <c r="G480" s="94" t="n"/>
      <c r="H480" s="93" t="n"/>
      <c r="I480" s="93" t="n"/>
      <c r="J480" s="93" t="n"/>
      <c r="K480" s="93" t="n"/>
      <c r="L480" s="93" t="n"/>
      <c r="M480" s="93" t="n"/>
    </row>
    <row r="481">
      <c r="A481" s="95" t="n"/>
      <c r="B481" s="97" t="n"/>
      <c r="C481" s="95" t="n"/>
      <c r="D481" s="97" t="n"/>
      <c r="E481" s="95" t="n"/>
      <c r="F481" s="97" t="n"/>
      <c r="G481" s="94" t="n"/>
      <c r="H481" s="95" t="n"/>
      <c r="I481" s="97" t="n"/>
      <c r="J481" s="95" t="n"/>
      <c r="K481" s="97" t="n"/>
      <c r="L481" s="95" t="n"/>
      <c r="M481" s="97" t="n"/>
    </row>
    <row r="482">
      <c r="A482" s="93" t="n"/>
      <c r="B482" s="93" t="n"/>
      <c r="C482" s="93" t="n"/>
      <c r="D482" s="93" t="n"/>
      <c r="E482" s="93" t="n"/>
      <c r="F482" s="93" t="n"/>
      <c r="G482" s="94" t="n"/>
      <c r="H482" s="93" t="n"/>
      <c r="I482" s="93" t="n"/>
      <c r="J482" s="93" t="n"/>
      <c r="K482" s="93" t="n"/>
      <c r="L482" s="93" t="n"/>
      <c r="M482" s="93" t="n"/>
    </row>
    <row r="483">
      <c r="A483" s="93" t="n"/>
      <c r="B483" s="93" t="n"/>
      <c r="C483" s="93" t="n"/>
      <c r="D483" s="93" t="n"/>
      <c r="E483" s="93" t="n"/>
      <c r="F483" s="93" t="n"/>
      <c r="G483" s="94" t="n"/>
      <c r="H483" s="93" t="n"/>
      <c r="I483" s="93" t="n"/>
      <c r="J483" s="93" t="n"/>
      <c r="K483" s="93" t="n"/>
      <c r="L483" s="93" t="n"/>
      <c r="M483" s="93" t="n"/>
    </row>
    <row r="484">
      <c r="A484" s="93" t="n"/>
      <c r="B484" s="93" t="n"/>
      <c r="C484" s="93" t="n"/>
      <c r="D484" s="93" t="n"/>
      <c r="E484" s="93" t="n"/>
      <c r="F484" s="93" t="n"/>
      <c r="G484" s="94" t="n"/>
      <c r="H484" s="93" t="n"/>
      <c r="I484" s="93" t="n"/>
      <c r="J484" s="93" t="n"/>
      <c r="K484" s="93" t="n"/>
      <c r="L484" s="93" t="n"/>
      <c r="M484" s="93" t="n"/>
    </row>
    <row r="485">
      <c r="A485" s="93" t="n"/>
      <c r="B485" s="93" t="n"/>
      <c r="C485" s="93" t="n"/>
      <c r="D485" s="93" t="n"/>
      <c r="E485" s="93" t="n"/>
      <c r="F485" s="93" t="n"/>
      <c r="G485" s="94" t="n"/>
      <c r="H485" s="93" t="n"/>
      <c r="I485" s="93" t="n"/>
      <c r="J485" s="93" t="n"/>
      <c r="K485" s="93" t="n"/>
      <c r="L485" s="93" t="n"/>
      <c r="M485" s="93" t="n"/>
    </row>
    <row r="486">
      <c r="A486" s="93" t="n"/>
      <c r="B486" s="93" t="n"/>
      <c r="C486" s="93" t="n"/>
      <c r="D486" s="93" t="n"/>
      <c r="E486" s="93" t="n"/>
      <c r="F486" s="93" t="n"/>
      <c r="G486" s="94" t="n"/>
      <c r="H486" s="93" t="n"/>
      <c r="I486" s="93" t="n"/>
      <c r="J486" s="93" t="n"/>
      <c r="K486" s="93" t="n"/>
      <c r="L486" s="93" t="n"/>
      <c r="M486" s="93" t="n"/>
    </row>
    <row r="487">
      <c r="A487" s="96" t="n"/>
      <c r="B487" s="97" t="n"/>
      <c r="C487" s="96" t="n"/>
      <c r="D487" s="97" t="n"/>
      <c r="E487" s="96" t="n"/>
      <c r="F487" s="97" t="n"/>
      <c r="G487" s="94" t="n"/>
      <c r="H487" s="96" t="n"/>
      <c r="I487" s="97" t="n"/>
      <c r="J487" s="96" t="n"/>
      <c r="K487" s="97" t="n"/>
      <c r="L487" s="96" t="n"/>
      <c r="M487" s="97" t="n"/>
    </row>
    <row r="488">
      <c r="A488" s="93" t="n"/>
      <c r="B488" s="93" t="n"/>
      <c r="C488" s="93" t="n"/>
      <c r="D488" s="93" t="n"/>
      <c r="E488" s="93" t="n"/>
      <c r="F488" s="93" t="n"/>
      <c r="G488" s="94" t="n"/>
      <c r="H488" s="93" t="n"/>
      <c r="I488" s="93" t="n"/>
      <c r="J488" s="93" t="n"/>
      <c r="K488" s="93" t="n"/>
      <c r="L488" s="93" t="n"/>
      <c r="M488" s="93" t="n"/>
    </row>
    <row r="489">
      <c r="A489" s="93" t="n"/>
      <c r="B489" s="93" t="n"/>
      <c r="C489" s="93" t="n"/>
      <c r="D489" s="93" t="n"/>
      <c r="E489" s="93" t="n"/>
      <c r="F489" s="93" t="n"/>
      <c r="G489" s="94" t="n"/>
      <c r="H489" s="93" t="n"/>
      <c r="I489" s="93" t="n"/>
      <c r="J489" s="93" t="n"/>
      <c r="K489" s="93" t="n"/>
      <c r="L489" s="93" t="n"/>
      <c r="M489" s="93" t="n"/>
    </row>
    <row r="490">
      <c r="A490" s="96" t="n"/>
      <c r="B490" s="97" t="n"/>
      <c r="C490" s="96" t="n"/>
      <c r="D490" s="97" t="n"/>
      <c r="E490" s="96" t="n"/>
      <c r="F490" s="97" t="n"/>
      <c r="G490" s="94" t="n"/>
      <c r="H490" s="96" t="n"/>
      <c r="I490" s="97" t="n"/>
      <c r="J490" s="96" t="n"/>
      <c r="K490" s="97" t="n"/>
      <c r="L490" s="96" t="n"/>
      <c r="M490" s="97" t="n"/>
    </row>
    <row r="491">
      <c r="A491" s="93" t="n"/>
      <c r="B491" s="93" t="n"/>
      <c r="C491" s="93" t="n"/>
      <c r="D491" s="93" t="n"/>
      <c r="E491" s="93" t="n"/>
      <c r="F491" s="93" t="n"/>
      <c r="G491" s="94" t="n"/>
      <c r="H491" s="93" t="n"/>
      <c r="I491" s="93" t="n"/>
      <c r="J491" s="93" t="n"/>
      <c r="K491" s="93" t="n"/>
      <c r="L491" s="93" t="n"/>
      <c r="M491" s="93" t="n"/>
    </row>
    <row r="492">
      <c r="A492" s="96" t="n"/>
      <c r="B492" s="97" t="n"/>
      <c r="C492" s="96" t="n"/>
      <c r="D492" s="97" t="n"/>
      <c r="E492" s="96" t="n"/>
      <c r="F492" s="97" t="n"/>
      <c r="G492" s="94" t="n"/>
      <c r="H492" s="96" t="n"/>
      <c r="I492" s="97" t="n"/>
      <c r="J492" s="96" t="n"/>
      <c r="K492" s="97" t="n"/>
      <c r="L492" s="96" t="n"/>
      <c r="M492" s="97" t="n"/>
    </row>
    <row r="493">
      <c r="A493" s="93" t="n"/>
      <c r="B493" s="93" t="n"/>
      <c r="C493" s="93" t="n"/>
      <c r="D493" s="93" t="n"/>
      <c r="E493" s="93" t="n"/>
      <c r="F493" s="93" t="n"/>
      <c r="G493" s="94" t="n"/>
      <c r="H493" s="93" t="n"/>
      <c r="I493" s="93" t="n"/>
      <c r="J493" s="93" t="n"/>
      <c r="K493" s="93" t="n"/>
      <c r="L493" s="93" t="n"/>
      <c r="M493" s="93" t="n"/>
    </row>
    <row r="494">
      <c r="A494" s="93" t="n"/>
      <c r="B494" s="93" t="n"/>
      <c r="C494" s="93" t="n"/>
      <c r="D494" s="93" t="n"/>
      <c r="E494" s="93" t="n"/>
      <c r="F494" s="93" t="n"/>
      <c r="G494" s="94" t="n"/>
      <c r="H494" s="93" t="n"/>
      <c r="I494" s="93" t="n"/>
      <c r="J494" s="93" t="n"/>
      <c r="K494" s="93" t="n"/>
      <c r="L494" s="93" t="n"/>
      <c r="M494" s="93" t="n"/>
    </row>
    <row r="495">
      <c r="A495" s="102" t="n"/>
      <c r="B495" s="100" t="n"/>
      <c r="C495" s="102" t="n"/>
      <c r="D495" s="100" t="n"/>
      <c r="E495" s="102" t="n"/>
      <c r="F495" s="100" t="n"/>
      <c r="G495" s="101" t="n"/>
      <c r="H495" s="102" t="n"/>
      <c r="I495" s="100" t="n"/>
      <c r="J495" s="102" t="n"/>
      <c r="K495" s="100" t="n"/>
      <c r="L495" s="102" t="n"/>
      <c r="M495" s="100" t="n"/>
    </row>
    <row r="496">
      <c r="A496" s="102" t="n"/>
      <c r="B496" s="100" t="n"/>
      <c r="C496" s="102" t="n"/>
      <c r="D496" s="100" t="n"/>
      <c r="E496" s="102" t="n"/>
      <c r="F496" s="100" t="n"/>
      <c r="G496" s="101" t="n"/>
      <c r="H496" s="102" t="n"/>
      <c r="I496" s="100" t="n"/>
      <c r="J496" s="102" t="n"/>
      <c r="K496" s="100" t="n"/>
      <c r="L496" s="102" t="n"/>
      <c r="M496" s="100" t="n"/>
    </row>
    <row r="497">
      <c r="A497" s="99" t="n"/>
      <c r="B497" s="100" t="n"/>
      <c r="C497" s="99" t="n"/>
      <c r="D497" s="100" t="n"/>
      <c r="E497" s="102" t="n"/>
      <c r="F497" s="100" t="n"/>
      <c r="G497" s="101" t="n"/>
      <c r="H497" s="99" t="n"/>
      <c r="I497" s="100" t="n"/>
      <c r="J497" s="99" t="n"/>
      <c r="K497" s="100" t="n"/>
      <c r="L497" s="102" t="n"/>
      <c r="M497" s="100" t="n"/>
    </row>
    <row r="498">
      <c r="A498" s="102" t="n"/>
      <c r="B498" s="100" t="n"/>
      <c r="C498" s="102" t="n"/>
      <c r="D498" s="100" t="n"/>
      <c r="E498" s="102" t="n"/>
      <c r="F498" s="100" t="n"/>
      <c r="G498" s="101" t="n"/>
      <c r="H498" s="102" t="n"/>
      <c r="I498" s="100" t="n"/>
      <c r="J498" s="102" t="n"/>
      <c r="K498" s="100" t="n"/>
      <c r="L498" s="102" t="n"/>
      <c r="M498" s="100" t="n"/>
    </row>
    <row r="499">
      <c r="A499" s="103" t="n"/>
      <c r="B499" s="103" t="n"/>
      <c r="C499" s="103" t="n"/>
      <c r="D499" s="103" t="n"/>
      <c r="E499" s="103" t="n"/>
      <c r="F499" s="103" t="n"/>
      <c r="G499" s="104" t="n"/>
      <c r="H499" s="103" t="n"/>
      <c r="I499" s="103" t="n"/>
      <c r="J499" s="103" t="n"/>
      <c r="K499" s="103" t="n"/>
      <c r="L499" s="103" t="n"/>
      <c r="M499" s="103" t="n"/>
    </row>
    <row r="500">
      <c r="A500" s="95" t="n"/>
      <c r="B500" s="97" t="n"/>
      <c r="C500" s="95" t="n"/>
      <c r="D500" s="97" t="n"/>
      <c r="E500" s="96" t="n"/>
      <c r="F500" s="97" t="n"/>
      <c r="G500" s="94" t="n"/>
      <c r="H500" s="95" t="n"/>
      <c r="I500" s="97" t="n"/>
      <c r="J500" s="95" t="n"/>
      <c r="K500" s="97" t="n"/>
      <c r="L500" s="96" t="n"/>
      <c r="M500" s="97" t="n"/>
    </row>
    <row r="501">
      <c r="A501" s="93" t="n"/>
      <c r="B501" s="93" t="n"/>
      <c r="C501" s="93" t="n"/>
      <c r="D501" s="93" t="n"/>
      <c r="E501" s="93" t="n"/>
      <c r="F501" s="93" t="n"/>
      <c r="G501" s="94" t="n"/>
      <c r="H501" s="93" t="n"/>
      <c r="I501" s="93" t="n"/>
      <c r="J501" s="93" t="n"/>
      <c r="K501" s="93" t="n"/>
      <c r="L501" s="93" t="n"/>
      <c r="M501" s="93" t="n"/>
    </row>
    <row r="502">
      <c r="A502" s="95" t="n"/>
      <c r="B502" s="97" t="n"/>
      <c r="C502" s="95" t="n"/>
      <c r="D502" s="97" t="n"/>
      <c r="E502" s="96" t="n"/>
      <c r="F502" s="97" t="n"/>
      <c r="G502" s="94" t="n"/>
      <c r="H502" s="95" t="n"/>
      <c r="I502" s="97" t="n"/>
      <c r="J502" s="95" t="n"/>
      <c r="K502" s="97" t="n"/>
      <c r="L502" s="96" t="n"/>
      <c r="M502" s="97" t="n"/>
    </row>
    <row r="503">
      <c r="A503" s="93" t="n"/>
      <c r="B503" s="93" t="n"/>
      <c r="C503" s="93" t="n"/>
      <c r="D503" s="93" t="n"/>
      <c r="E503" s="93" t="n"/>
      <c r="F503" s="93" t="n"/>
      <c r="G503" s="94" t="n"/>
      <c r="H503" s="93" t="n"/>
      <c r="I503" s="93" t="n"/>
      <c r="J503" s="93" t="n"/>
      <c r="K503" s="93" t="n"/>
      <c r="L503" s="93" t="n"/>
      <c r="M503" s="93" t="n"/>
    </row>
    <row r="504" ht="15" customHeight="1" s="54" thickBot="1">
      <c r="A504" s="95" t="n"/>
      <c r="B504" s="97" t="n"/>
      <c r="C504" s="95" t="n"/>
      <c r="D504" s="97" t="n"/>
      <c r="E504" s="95" t="n"/>
      <c r="F504" s="97" t="n"/>
      <c r="G504" s="94" t="n"/>
      <c r="H504" s="95" t="n"/>
      <c r="I504" s="97" t="n"/>
      <c r="J504" s="95" t="n"/>
      <c r="K504" s="97" t="n"/>
      <c r="L504" s="95" t="n"/>
      <c r="M504" s="97" t="n"/>
    </row>
    <row r="505" ht="15" customHeight="1" s="54" thickTop="1">
      <c r="A505" s="108" t="n"/>
      <c r="B505" s="108" t="n"/>
      <c r="C505" s="108" t="n"/>
      <c r="D505" s="108" t="n"/>
      <c r="E505" s="108" t="n"/>
      <c r="F505" s="108" t="n"/>
      <c r="G505" s="109" t="n"/>
      <c r="H505" s="108" t="n"/>
      <c r="I505" s="108" t="n"/>
      <c r="J505" s="108" t="n"/>
      <c r="K505" s="108" t="n"/>
      <c r="L505" s="108" t="n"/>
      <c r="M505" s="108" t="n"/>
    </row>
    <row r="506">
      <c r="A506" s="107" t="n"/>
      <c r="B506" s="107" t="n"/>
      <c r="C506" s="107" t="n"/>
      <c r="D506" s="107" t="n"/>
      <c r="E506" s="107" t="n"/>
      <c r="F506" s="90" t="n"/>
      <c r="G506" s="90" t="n"/>
      <c r="H506" s="90" t="n"/>
      <c r="I506" s="90" t="n"/>
      <c r="J506" s="90" t="n"/>
      <c r="K506" s="90" t="n"/>
      <c r="L506" s="90" t="n"/>
      <c r="M506" s="90" t="n"/>
    </row>
    <row r="507">
      <c r="A507" s="90" t="n"/>
      <c r="B507" s="90" t="n"/>
      <c r="C507" s="90" t="n"/>
      <c r="D507" s="90" t="n"/>
      <c r="E507" s="90" t="n"/>
      <c r="F507" s="91" t="n"/>
      <c r="G507" s="91" t="n"/>
      <c r="H507" s="91" t="n"/>
      <c r="I507" s="91" t="n"/>
      <c r="J507" s="90" t="n"/>
      <c r="K507" s="90" t="n"/>
      <c r="L507" s="90" t="n"/>
      <c r="M507" s="90" t="n"/>
    </row>
    <row r="508">
      <c r="A508" s="90" t="n"/>
      <c r="B508" s="90" t="n"/>
      <c r="C508" s="90" t="n"/>
      <c r="D508" s="90" t="n"/>
      <c r="E508" s="90" t="n"/>
      <c r="F508" s="91" t="n"/>
      <c r="G508" s="91" t="n"/>
      <c r="H508" s="91" t="n"/>
      <c r="I508" s="91" t="n"/>
      <c r="J508" s="90" t="n"/>
      <c r="K508" s="90" t="n"/>
      <c r="L508" s="90" t="n"/>
      <c r="M508" s="90" t="n"/>
    </row>
    <row r="509">
      <c r="A509" s="90" t="n"/>
      <c r="B509" s="90" t="n"/>
      <c r="C509" s="90" t="n"/>
      <c r="D509" s="90" t="n"/>
      <c r="E509" s="90" t="n"/>
      <c r="F509" s="91" t="n"/>
      <c r="G509" s="91" t="n"/>
      <c r="H509" s="91" t="n"/>
      <c r="I509" s="91" t="n"/>
      <c r="J509" s="90" t="n"/>
      <c r="K509" s="90" t="n"/>
      <c r="L509" s="90" t="n"/>
      <c r="M509" s="90" t="n"/>
    </row>
    <row r="510">
      <c r="A510" s="92" t="n"/>
      <c r="B510" s="92" t="n"/>
      <c r="C510" s="92" t="n"/>
      <c r="D510" s="92" t="n"/>
      <c r="E510" s="92" t="n"/>
      <c r="F510" s="92" t="n"/>
      <c r="H510" s="92" t="n"/>
      <c r="I510" s="92" t="n"/>
      <c r="J510" s="92" t="n"/>
      <c r="K510" s="92" t="n"/>
      <c r="L510" s="92" t="n"/>
      <c r="M510" s="92" t="n"/>
    </row>
    <row r="511">
      <c r="A511" s="93" t="n"/>
      <c r="B511" s="93" t="n"/>
      <c r="C511" s="93" t="n"/>
      <c r="D511" s="93" t="n"/>
      <c r="E511" s="93" t="n"/>
      <c r="F511" s="93" t="n"/>
      <c r="G511" s="94" t="n"/>
      <c r="H511" s="93" t="n"/>
      <c r="I511" s="93" t="n"/>
      <c r="J511" s="93" t="n"/>
      <c r="K511" s="93" t="n"/>
      <c r="L511" s="93" t="n"/>
      <c r="M511" s="93" t="n"/>
    </row>
    <row r="512">
      <c r="A512" s="93" t="n"/>
      <c r="B512" s="93" t="n"/>
      <c r="C512" s="93" t="n"/>
      <c r="D512" s="93" t="n"/>
      <c r="E512" s="93" t="n"/>
      <c r="F512" s="93" t="n"/>
      <c r="G512" s="94" t="n"/>
      <c r="H512" s="93" t="n"/>
      <c r="I512" s="93" t="n"/>
      <c r="J512" s="93" t="n"/>
      <c r="K512" s="93" t="n"/>
      <c r="L512" s="93" t="n"/>
      <c r="M512" s="93" t="n"/>
    </row>
    <row r="513">
      <c r="A513" s="93" t="n"/>
      <c r="B513" s="93" t="n"/>
      <c r="C513" s="93" t="n"/>
      <c r="D513" s="93" t="n"/>
      <c r="E513" s="93" t="n"/>
      <c r="F513" s="93" t="n"/>
      <c r="G513" s="94" t="n"/>
      <c r="H513" s="93" t="n"/>
      <c r="I513" s="93" t="n"/>
      <c r="J513" s="93" t="n"/>
      <c r="K513" s="93" t="n"/>
      <c r="L513" s="93" t="n"/>
      <c r="M513" s="93" t="n"/>
    </row>
    <row r="514">
      <c r="A514" s="99" t="n"/>
      <c r="B514" s="100" t="n"/>
      <c r="C514" s="99" t="n"/>
      <c r="D514" s="100" t="n"/>
      <c r="E514" s="99" t="n"/>
      <c r="F514" s="100" t="n"/>
      <c r="G514" s="101" t="n"/>
      <c r="H514" s="99" t="n"/>
      <c r="I514" s="100" t="n"/>
      <c r="J514" s="99" t="n"/>
      <c r="K514" s="100" t="n"/>
      <c r="L514" s="99" t="n"/>
      <c r="M514" s="100" t="n"/>
    </row>
    <row r="515">
      <c r="A515" s="102" t="n"/>
      <c r="B515" s="100" t="n"/>
      <c r="C515" s="102" t="n"/>
      <c r="D515" s="100" t="n"/>
      <c r="E515" s="99" t="n"/>
      <c r="F515" s="100" t="n"/>
      <c r="G515" s="101" t="n"/>
      <c r="H515" s="102" t="n"/>
      <c r="I515" s="100" t="n"/>
      <c r="J515" s="102" t="n"/>
      <c r="K515" s="100" t="n"/>
      <c r="L515" s="99" t="n"/>
      <c r="M515" s="100" t="n"/>
    </row>
    <row r="516">
      <c r="A516" s="95" t="n"/>
      <c r="B516" s="97" t="n"/>
      <c r="C516" s="95" t="n"/>
      <c r="D516" s="97" t="n"/>
      <c r="E516" s="95" t="n"/>
      <c r="F516" s="97" t="n"/>
      <c r="G516" s="94" t="n"/>
      <c r="H516" s="95" t="n"/>
      <c r="I516" s="97" t="n"/>
      <c r="J516" s="95" t="n"/>
      <c r="K516" s="97" t="n"/>
      <c r="L516" s="95" t="n"/>
      <c r="M516" s="97" t="n"/>
    </row>
    <row r="517">
      <c r="A517" s="99" t="n"/>
      <c r="B517" s="100" t="n"/>
      <c r="C517" s="99" t="n"/>
      <c r="D517" s="100" t="n"/>
      <c r="E517" s="102" t="n"/>
      <c r="F517" s="100" t="n"/>
      <c r="G517" s="101" t="n"/>
      <c r="H517" s="99" t="n"/>
      <c r="I517" s="100" t="n"/>
      <c r="J517" s="99" t="n"/>
      <c r="K517" s="100" t="n"/>
      <c r="L517" s="102" t="n"/>
      <c r="M517" s="100" t="n"/>
    </row>
    <row r="518">
      <c r="A518" s="99" t="n"/>
      <c r="B518" s="100" t="n"/>
      <c r="C518" s="99" t="n"/>
      <c r="D518" s="100" t="n"/>
      <c r="E518" s="102" t="n"/>
      <c r="F518" s="100" t="n"/>
      <c r="G518" s="101" t="n"/>
      <c r="H518" s="99" t="n"/>
      <c r="I518" s="100" t="n"/>
      <c r="J518" s="99" t="n"/>
      <c r="K518" s="100" t="n"/>
      <c r="L518" s="102" t="n"/>
      <c r="M518" s="100" t="n"/>
    </row>
    <row r="519">
      <c r="A519" s="102" t="n"/>
      <c r="B519" s="100" t="n"/>
      <c r="C519" s="102" t="n"/>
      <c r="D519" s="100" t="n"/>
      <c r="E519" s="102" t="n"/>
      <c r="F519" s="100" t="n"/>
      <c r="G519" s="101" t="n"/>
      <c r="H519" s="102" t="n"/>
      <c r="I519" s="100" t="n"/>
      <c r="J519" s="102" t="n"/>
      <c r="K519" s="100" t="n"/>
      <c r="L519" s="102" t="n"/>
      <c r="M519" s="100" t="n"/>
    </row>
    <row r="520">
      <c r="A520" s="102" t="n"/>
      <c r="B520" s="100" t="n"/>
      <c r="C520" s="102" t="n"/>
      <c r="D520" s="100" t="n"/>
      <c r="E520" s="102" t="n"/>
      <c r="F520" s="100" t="n"/>
      <c r="G520" s="101" t="n"/>
      <c r="H520" s="102" t="n"/>
      <c r="I520" s="100" t="n"/>
      <c r="J520" s="102" t="n"/>
      <c r="K520" s="100" t="n"/>
      <c r="L520" s="102" t="n"/>
      <c r="M520" s="100" t="n"/>
    </row>
    <row r="521">
      <c r="A521" s="95" t="n"/>
      <c r="B521" s="97" t="n"/>
      <c r="C521" s="95" t="n"/>
      <c r="D521" s="97" t="n"/>
      <c r="E521" s="96" t="n"/>
      <c r="F521" s="97" t="n"/>
      <c r="G521" s="94" t="n"/>
      <c r="H521" s="95" t="n"/>
      <c r="I521" s="97" t="n"/>
      <c r="J521" s="95" t="n"/>
      <c r="K521" s="97" t="n"/>
      <c r="L521" s="96" t="n"/>
      <c r="M521" s="97" t="n"/>
    </row>
    <row r="522">
      <c r="A522" s="99" t="n"/>
      <c r="B522" s="100" t="n"/>
      <c r="C522" s="99" t="n"/>
      <c r="D522" s="100" t="n"/>
      <c r="E522" s="102" t="n"/>
      <c r="F522" s="100" t="n"/>
      <c r="G522" s="101" t="n"/>
      <c r="H522" s="99" t="n"/>
      <c r="I522" s="100" t="n"/>
      <c r="J522" s="99" t="n"/>
      <c r="K522" s="100" t="n"/>
      <c r="L522" s="102" t="n"/>
      <c r="M522" s="100" t="n"/>
    </row>
    <row r="523">
      <c r="A523" s="102" t="n"/>
      <c r="B523" s="100" t="n"/>
      <c r="C523" s="102" t="n"/>
      <c r="D523" s="100" t="n"/>
      <c r="E523" s="102" t="n"/>
      <c r="F523" s="100" t="n"/>
      <c r="G523" s="101" t="n"/>
      <c r="H523" s="102" t="n"/>
      <c r="I523" s="100" t="n"/>
      <c r="J523" s="102" t="n"/>
      <c r="K523" s="100" t="n"/>
      <c r="L523" s="102" t="n"/>
      <c r="M523" s="100" t="n"/>
    </row>
    <row r="524">
      <c r="A524" s="99" t="n"/>
      <c r="B524" s="100" t="n"/>
      <c r="C524" s="99" t="n"/>
      <c r="D524" s="100" t="n"/>
      <c r="E524" s="102" t="n"/>
      <c r="F524" s="100" t="n"/>
      <c r="G524" s="101" t="n"/>
      <c r="H524" s="99" t="n"/>
      <c r="I524" s="100" t="n"/>
      <c r="J524" s="99" t="n"/>
      <c r="K524" s="100" t="n"/>
      <c r="L524" s="102" t="n"/>
      <c r="M524" s="100" t="n"/>
    </row>
    <row r="525">
      <c r="A525" s="95" t="n"/>
      <c r="B525" s="97" t="n"/>
      <c r="C525" s="95" t="n"/>
      <c r="D525" s="97" t="n"/>
      <c r="E525" s="96" t="n"/>
      <c r="F525" s="97" t="n"/>
      <c r="G525" s="94" t="n"/>
      <c r="H525" s="95" t="n"/>
      <c r="I525" s="97" t="n"/>
      <c r="J525" s="95" t="n"/>
      <c r="K525" s="97" t="n"/>
      <c r="L525" s="96" t="n"/>
      <c r="M525" s="97" t="n"/>
    </row>
    <row r="526">
      <c r="A526" s="111" t="n"/>
      <c r="B526" s="111" t="n"/>
      <c r="C526" s="111" t="n"/>
      <c r="D526" s="111" t="n"/>
      <c r="E526" s="111" t="n"/>
      <c r="F526" s="111" t="n"/>
      <c r="G526" s="112" t="n"/>
      <c r="H526" s="111" t="n"/>
      <c r="I526" s="111" t="n"/>
      <c r="J526" s="111" t="n"/>
      <c r="K526" s="111" t="n"/>
      <c r="L526" s="111" t="n"/>
      <c r="M526" s="111" t="n"/>
    </row>
    <row r="527">
      <c r="A527" s="95" t="n"/>
      <c r="B527" s="97" t="n"/>
      <c r="C527" s="95" t="n"/>
      <c r="D527" s="97" t="n"/>
      <c r="E527" s="95" t="n"/>
      <c r="F527" s="97" t="n"/>
      <c r="G527" s="94" t="n"/>
      <c r="H527" s="95" t="n"/>
      <c r="I527" s="97" t="n"/>
      <c r="J527" s="95" t="n"/>
      <c r="K527" s="97" t="n"/>
      <c r="L527" s="95" t="n"/>
      <c r="M527" s="97" t="n"/>
    </row>
    <row r="528">
      <c r="A528" s="93" t="n"/>
      <c r="B528" s="93" t="n"/>
      <c r="C528" s="93" t="n"/>
      <c r="D528" s="93" t="n"/>
      <c r="E528" s="93" t="n"/>
      <c r="F528" s="93" t="n"/>
      <c r="G528" s="94" t="n"/>
      <c r="H528" s="93" t="n"/>
      <c r="I528" s="93" t="n"/>
      <c r="J528" s="93" t="n"/>
      <c r="K528" s="93" t="n"/>
      <c r="L528" s="93" t="n"/>
      <c r="M528" s="93" t="n"/>
    </row>
    <row r="529">
      <c r="A529" s="93" t="n"/>
      <c r="B529" s="93" t="n"/>
      <c r="C529" s="93" t="n"/>
      <c r="D529" s="93" t="n"/>
      <c r="E529" s="93" t="n"/>
      <c r="F529" s="93" t="n"/>
      <c r="G529" s="94" t="n"/>
      <c r="H529" s="93" t="n"/>
      <c r="I529" s="93" t="n"/>
      <c r="J529" s="93" t="n"/>
      <c r="K529" s="93" t="n"/>
      <c r="L529" s="93" t="n"/>
      <c r="M529" s="93" t="n"/>
    </row>
    <row r="530">
      <c r="A530" s="99" t="n"/>
      <c r="B530" s="100" t="n"/>
      <c r="C530" s="99" t="n"/>
      <c r="D530" s="100" t="n"/>
      <c r="E530" s="99" t="n"/>
      <c r="F530" s="100" t="n"/>
      <c r="G530" s="101" t="n"/>
      <c r="H530" s="99" t="n"/>
      <c r="I530" s="100" t="n"/>
      <c r="J530" s="99" t="n"/>
      <c r="K530" s="100" t="n"/>
      <c r="L530" s="99" t="n"/>
      <c r="M530" s="100" t="n"/>
    </row>
    <row r="531">
      <c r="A531" s="99" t="n"/>
      <c r="B531" s="100" t="n"/>
      <c r="C531" s="99" t="n"/>
      <c r="D531" s="100" t="n"/>
      <c r="E531" s="99" t="n"/>
      <c r="F531" s="100" t="n"/>
      <c r="G531" s="101" t="n"/>
      <c r="H531" s="99" t="n"/>
      <c r="I531" s="100" t="n"/>
      <c r="J531" s="99" t="n"/>
      <c r="K531" s="100" t="n"/>
      <c r="L531" s="99" t="n"/>
      <c r="M531" s="100" t="n"/>
    </row>
    <row r="532">
      <c r="A532" s="99" t="n"/>
      <c r="B532" s="100" t="n"/>
      <c r="C532" s="99" t="n"/>
      <c r="D532" s="100" t="n"/>
      <c r="E532" s="99" t="n"/>
      <c r="F532" s="100" t="n"/>
      <c r="G532" s="101" t="n"/>
      <c r="H532" s="99" t="n"/>
      <c r="I532" s="100" t="n"/>
      <c r="J532" s="99" t="n"/>
      <c r="K532" s="100" t="n"/>
      <c r="L532" s="99" t="n"/>
      <c r="M532" s="100" t="n"/>
    </row>
    <row r="533">
      <c r="A533" s="102" t="n"/>
      <c r="B533" s="100" t="n"/>
      <c r="C533" s="102" t="n"/>
      <c r="D533" s="100" t="n"/>
      <c r="E533" s="102" t="n"/>
      <c r="F533" s="100" t="n"/>
      <c r="G533" s="101" t="n"/>
      <c r="H533" s="102" t="n"/>
      <c r="I533" s="100" t="n"/>
      <c r="J533" s="102" t="n"/>
      <c r="K533" s="100" t="n"/>
      <c r="L533" s="102" t="n"/>
      <c r="M533" s="100" t="n"/>
    </row>
    <row r="534">
      <c r="A534" s="102" t="n"/>
      <c r="B534" s="100" t="n"/>
      <c r="C534" s="102" t="n"/>
      <c r="D534" s="100" t="n"/>
      <c r="E534" s="102" t="n"/>
      <c r="F534" s="100" t="n"/>
      <c r="G534" s="101" t="n"/>
      <c r="H534" s="102" t="n"/>
      <c r="I534" s="100" t="n"/>
      <c r="J534" s="102" t="n"/>
      <c r="K534" s="100" t="n"/>
      <c r="L534" s="102" t="n"/>
      <c r="M534" s="100" t="n"/>
    </row>
    <row r="535">
      <c r="A535" s="103" t="n"/>
      <c r="B535" s="103" t="n"/>
      <c r="C535" s="103" t="n"/>
      <c r="D535" s="103" t="n"/>
      <c r="E535" s="103" t="n"/>
      <c r="F535" s="103" t="n"/>
      <c r="G535" s="104" t="n"/>
      <c r="H535" s="103" t="n"/>
      <c r="I535" s="103" t="n"/>
      <c r="J535" s="103" t="n"/>
      <c r="K535" s="103" t="n"/>
      <c r="L535" s="103" t="n"/>
      <c r="M535" s="103" t="n"/>
    </row>
    <row r="536">
      <c r="A536" s="95" t="n"/>
      <c r="B536" s="97" t="n"/>
      <c r="C536" s="95" t="n"/>
      <c r="D536" s="97" t="n"/>
      <c r="E536" s="95" t="n"/>
      <c r="F536" s="97" t="n"/>
      <c r="G536" s="94" t="n"/>
      <c r="H536" s="95" t="n"/>
      <c r="I536" s="97" t="n"/>
      <c r="J536" s="95" t="n"/>
      <c r="K536" s="97" t="n"/>
      <c r="L536" s="95" t="n"/>
      <c r="M536" s="97" t="n"/>
    </row>
    <row r="537">
      <c r="A537" s="93" t="n"/>
      <c r="B537" s="93" t="n"/>
      <c r="C537" s="93" t="n"/>
      <c r="D537" s="93" t="n"/>
      <c r="E537" s="93" t="n"/>
      <c r="F537" s="93" t="n"/>
      <c r="G537" s="94" t="n"/>
      <c r="H537" s="93" t="n"/>
      <c r="I537" s="93" t="n"/>
      <c r="J537" s="93" t="n"/>
      <c r="K537" s="93" t="n"/>
      <c r="L537" s="93" t="n"/>
      <c r="M537" s="93" t="n"/>
    </row>
    <row r="538">
      <c r="A538" s="95" t="n"/>
      <c r="B538" s="97" t="n"/>
      <c r="C538" s="95" t="n"/>
      <c r="D538" s="97" t="n"/>
      <c r="E538" s="105" t="n"/>
      <c r="F538" s="97" t="n"/>
      <c r="G538" s="94" t="n"/>
      <c r="H538" s="95" t="n"/>
      <c r="I538" s="97" t="n"/>
      <c r="J538" s="95" t="n"/>
      <c r="K538" s="97" t="n"/>
      <c r="L538" s="105" t="n"/>
      <c r="M538" s="97" t="n"/>
    </row>
    <row r="539">
      <c r="A539" s="93" t="n"/>
      <c r="B539" s="93" t="n"/>
      <c r="C539" s="93" t="n"/>
      <c r="D539" s="93" t="n"/>
      <c r="E539" s="93" t="n"/>
      <c r="F539" s="93" t="n"/>
      <c r="G539" s="94" t="n"/>
      <c r="H539" s="93" t="n"/>
      <c r="I539" s="93" t="n"/>
      <c r="J539" s="93" t="n"/>
      <c r="K539" s="93" t="n"/>
      <c r="L539" s="93" t="n"/>
      <c r="M539" s="93" t="n"/>
    </row>
    <row r="540">
      <c r="A540" s="93" t="n"/>
      <c r="B540" s="93" t="n"/>
      <c r="C540" s="93" t="n"/>
      <c r="D540" s="93" t="n"/>
      <c r="E540" s="93" t="n"/>
      <c r="F540" s="93" t="n"/>
      <c r="G540" s="94" t="n"/>
      <c r="H540" s="93" t="n"/>
      <c r="I540" s="93" t="n"/>
      <c r="J540" s="93" t="n"/>
      <c r="K540" s="93" t="n"/>
      <c r="L540" s="93" t="n"/>
      <c r="M540" s="93" t="n"/>
    </row>
    <row r="541">
      <c r="A541" s="93" t="n"/>
      <c r="B541" s="93" t="n"/>
      <c r="C541" s="93" t="n"/>
      <c r="D541" s="93" t="n"/>
      <c r="E541" s="93" t="n"/>
      <c r="F541" s="93" t="n"/>
      <c r="G541" s="94" t="n"/>
      <c r="H541" s="93" t="n"/>
      <c r="I541" s="93" t="n"/>
      <c r="J541" s="93" t="n"/>
      <c r="K541" s="93" t="n"/>
      <c r="L541" s="93" t="n"/>
      <c r="M541" s="93" t="n"/>
    </row>
    <row r="542">
      <c r="A542" s="93" t="n"/>
      <c r="B542" s="93" t="n"/>
      <c r="C542" s="93" t="n"/>
      <c r="D542" s="93" t="n"/>
      <c r="E542" s="93" t="n"/>
      <c r="F542" s="93" t="n"/>
      <c r="G542" s="94" t="n"/>
      <c r="H542" s="93" t="n"/>
      <c r="I542" s="93" t="n"/>
      <c r="J542" s="93" t="n"/>
      <c r="K542" s="93" t="n"/>
      <c r="L542" s="93" t="n"/>
      <c r="M542" s="93" t="n"/>
    </row>
    <row r="543">
      <c r="A543" s="93" t="n"/>
      <c r="B543" s="93" t="n"/>
      <c r="C543" s="93" t="n"/>
      <c r="D543" s="93" t="n"/>
      <c r="E543" s="93" t="n"/>
      <c r="F543" s="93" t="n"/>
      <c r="G543" s="94" t="n"/>
      <c r="H543" s="93" t="n"/>
      <c r="I543" s="93" t="n"/>
      <c r="J543" s="93" t="n"/>
      <c r="K543" s="93" t="n"/>
      <c r="L543" s="93" t="n"/>
      <c r="M543" s="93" t="n"/>
    </row>
    <row r="544">
      <c r="A544" s="99" t="n"/>
      <c r="B544" s="100" t="n"/>
      <c r="C544" s="99" t="n"/>
      <c r="D544" s="100" t="n"/>
      <c r="E544" s="99" t="n"/>
      <c r="F544" s="100" t="n"/>
      <c r="G544" s="101" t="n"/>
      <c r="H544" s="99" t="n"/>
      <c r="I544" s="100" t="n"/>
      <c r="J544" s="99" t="n"/>
      <c r="K544" s="100" t="n"/>
      <c r="L544" s="99" t="n"/>
      <c r="M544" s="100" t="n"/>
    </row>
    <row r="545">
      <c r="A545" s="102" t="n"/>
      <c r="B545" s="100" t="n"/>
      <c r="C545" s="102" t="n"/>
      <c r="D545" s="100" t="n"/>
      <c r="E545" s="99" t="n"/>
      <c r="F545" s="100" t="n"/>
      <c r="G545" s="101" t="n"/>
      <c r="H545" s="102" t="n"/>
      <c r="I545" s="100" t="n"/>
      <c r="J545" s="102" t="n"/>
      <c r="K545" s="100" t="n"/>
      <c r="L545" s="99" t="n"/>
      <c r="M545" s="100" t="n"/>
    </row>
    <row r="546">
      <c r="A546" s="102" t="n"/>
      <c r="B546" s="100" t="n"/>
      <c r="C546" s="102" t="n"/>
      <c r="D546" s="100" t="n"/>
      <c r="E546" s="102" t="n"/>
      <c r="F546" s="100" t="n"/>
      <c r="G546" s="101" t="n"/>
      <c r="H546" s="102" t="n"/>
      <c r="I546" s="100" t="n"/>
      <c r="J546" s="102" t="n"/>
      <c r="K546" s="100" t="n"/>
      <c r="L546" s="102" t="n"/>
      <c r="M546" s="100" t="n"/>
    </row>
    <row r="547">
      <c r="A547" s="95" t="n"/>
      <c r="B547" s="97" t="n"/>
      <c r="C547" s="95" t="n"/>
      <c r="D547" s="97" t="n"/>
      <c r="E547" s="95" t="n"/>
      <c r="F547" s="97" t="n"/>
      <c r="G547" s="94" t="n"/>
      <c r="H547" s="95" t="n"/>
      <c r="I547" s="97" t="n"/>
      <c r="J547" s="95" t="n"/>
      <c r="K547" s="97" t="n"/>
      <c r="L547" s="95" t="n"/>
      <c r="M547" s="97" t="n"/>
    </row>
    <row r="548">
      <c r="A548" s="93" t="n"/>
      <c r="B548" s="93" t="n"/>
      <c r="C548" s="93" t="n"/>
      <c r="D548" s="93" t="n"/>
      <c r="E548" s="93" t="n"/>
      <c r="F548" s="93" t="n"/>
      <c r="G548" s="94" t="n"/>
      <c r="H548" s="93" t="n"/>
      <c r="I548" s="93" t="n"/>
      <c r="J548" s="93" t="n"/>
      <c r="K548" s="93" t="n"/>
      <c r="L548" s="93" t="n"/>
      <c r="M548" s="93" t="n"/>
    </row>
    <row r="549">
      <c r="A549" s="93" t="n"/>
      <c r="B549" s="93" t="n"/>
      <c r="C549" s="93" t="n"/>
      <c r="D549" s="93" t="n"/>
      <c r="E549" s="93" t="n"/>
      <c r="F549" s="93" t="n"/>
      <c r="G549" s="94" t="n"/>
      <c r="H549" s="93" t="n"/>
      <c r="I549" s="93" t="n"/>
      <c r="J549" s="93" t="n"/>
      <c r="K549" s="93" t="n"/>
      <c r="L549" s="93" t="n"/>
      <c r="M549" s="93" t="n"/>
    </row>
    <row r="550">
      <c r="A550" s="99" t="n"/>
      <c r="B550" s="100" t="n"/>
      <c r="C550" s="99" t="n"/>
      <c r="D550" s="100" t="n"/>
      <c r="E550" s="99" t="n"/>
      <c r="F550" s="100" t="n"/>
      <c r="G550" s="101" t="n"/>
      <c r="H550" s="99" t="n"/>
      <c r="I550" s="100" t="n"/>
      <c r="J550" s="99" t="n"/>
      <c r="K550" s="100" t="n"/>
      <c r="L550" s="99" t="n"/>
      <c r="M550" s="100" t="n"/>
    </row>
    <row r="551">
      <c r="A551" s="95" t="n"/>
      <c r="B551" s="97" t="n"/>
      <c r="C551" s="95" t="n"/>
      <c r="D551" s="97" t="n"/>
      <c r="E551" s="95" t="n"/>
      <c r="F551" s="97" t="n"/>
      <c r="G551" s="94" t="n"/>
      <c r="H551" s="95" t="n"/>
      <c r="I551" s="97" t="n"/>
      <c r="J551" s="95" t="n"/>
      <c r="K551" s="97" t="n"/>
      <c r="L551" s="95" t="n"/>
      <c r="M551" s="97" t="n"/>
    </row>
    <row r="552">
      <c r="A552" s="93" t="n"/>
      <c r="B552" s="93" t="n"/>
      <c r="C552" s="93" t="n"/>
      <c r="D552" s="93" t="n"/>
      <c r="E552" s="93" t="n"/>
      <c r="F552" s="93" t="n"/>
      <c r="G552" s="94" t="n"/>
      <c r="H552" s="93" t="n"/>
      <c r="I552" s="93" t="n"/>
      <c r="J552" s="93" t="n"/>
      <c r="K552" s="93" t="n"/>
      <c r="L552" s="93" t="n"/>
      <c r="M552" s="93" t="n"/>
    </row>
    <row r="553">
      <c r="A553" s="95" t="n"/>
      <c r="B553" s="97" t="n"/>
      <c r="C553" s="95" t="n"/>
      <c r="D553" s="97" t="n"/>
      <c r="E553" s="95" t="n"/>
      <c r="F553" s="97" t="n"/>
      <c r="G553" s="94" t="n"/>
      <c r="H553" s="95" t="n"/>
      <c r="I553" s="97" t="n"/>
      <c r="J553" s="95" t="n"/>
      <c r="K553" s="97" t="n"/>
      <c r="L553" s="95" t="n"/>
      <c r="M553" s="97" t="n"/>
    </row>
    <row r="554">
      <c r="A554" s="93" t="n"/>
      <c r="B554" s="93" t="n"/>
      <c r="C554" s="93" t="n"/>
      <c r="D554" s="93" t="n"/>
      <c r="E554" s="93" t="n"/>
      <c r="F554" s="93" t="n"/>
      <c r="G554" s="94" t="n"/>
      <c r="H554" s="93" t="n"/>
      <c r="I554" s="93" t="n"/>
      <c r="J554" s="93" t="n"/>
      <c r="K554" s="93" t="n"/>
      <c r="L554" s="93" t="n"/>
      <c r="M554" s="93" t="n"/>
    </row>
    <row r="555">
      <c r="A555" s="93" t="n"/>
      <c r="B555" s="93" t="n"/>
      <c r="C555" s="93" t="n"/>
      <c r="D555" s="93" t="n"/>
      <c r="E555" s="93" t="n"/>
      <c r="F555" s="93" t="n"/>
      <c r="G555" s="94" t="n"/>
      <c r="H555" s="93" t="n"/>
      <c r="I555" s="93" t="n"/>
      <c r="J555" s="93" t="n"/>
      <c r="K555" s="93" t="n"/>
      <c r="L555" s="93" t="n"/>
      <c r="M555" s="93" t="n"/>
    </row>
    <row r="556">
      <c r="A556" s="102" t="n"/>
      <c r="B556" s="100" t="n"/>
      <c r="C556" s="102" t="n"/>
      <c r="D556" s="100" t="n"/>
      <c r="E556" s="102" t="n"/>
      <c r="F556" s="100" t="n"/>
      <c r="G556" s="101" t="n"/>
      <c r="H556" s="102" t="n"/>
      <c r="I556" s="100" t="n"/>
      <c r="J556" s="102" t="n"/>
      <c r="K556" s="100" t="n"/>
      <c r="L556" s="102" t="n"/>
      <c r="M556" s="100" t="n"/>
    </row>
    <row r="557">
      <c r="A557" s="102" t="n"/>
      <c r="B557" s="100" t="n"/>
      <c r="C557" s="102" t="n"/>
      <c r="D557" s="100" t="n"/>
      <c r="E557" s="99" t="n"/>
      <c r="F557" s="100" t="n"/>
      <c r="G557" s="101" t="n"/>
      <c r="H557" s="102" t="n"/>
      <c r="I557" s="100" t="n"/>
      <c r="J557" s="102" t="n"/>
      <c r="K557" s="100" t="n"/>
      <c r="L557" s="99" t="n"/>
      <c r="M557" s="100" t="n"/>
    </row>
    <row r="558">
      <c r="A558" s="99" t="n"/>
      <c r="B558" s="100" t="n"/>
      <c r="C558" s="99" t="n"/>
      <c r="D558" s="100" t="n"/>
      <c r="E558" s="99" t="n"/>
      <c r="F558" s="100" t="n"/>
      <c r="G558" s="101" t="n"/>
      <c r="H558" s="99" t="n"/>
      <c r="I558" s="100" t="n"/>
      <c r="J558" s="99" t="n"/>
      <c r="K558" s="100" t="n"/>
      <c r="L558" s="99" t="n"/>
      <c r="M558" s="100" t="n"/>
    </row>
    <row r="559">
      <c r="A559" s="102" t="n"/>
      <c r="B559" s="100" t="n"/>
      <c r="C559" s="102" t="n"/>
      <c r="D559" s="100" t="n"/>
      <c r="E559" s="102" t="n"/>
      <c r="F559" s="100" t="n"/>
      <c r="G559" s="101" t="n"/>
      <c r="H559" s="102" t="n"/>
      <c r="I559" s="100" t="n"/>
      <c r="J559" s="102" t="n"/>
      <c r="K559" s="100" t="n"/>
      <c r="L559" s="102" t="n"/>
      <c r="M559" s="100" t="n"/>
    </row>
    <row r="560">
      <c r="A560" s="102" t="n"/>
      <c r="B560" s="100" t="n"/>
      <c r="C560" s="102" t="n"/>
      <c r="D560" s="100" t="n"/>
      <c r="E560" s="102" t="n"/>
      <c r="F560" s="100" t="n"/>
      <c r="G560" s="101" t="n"/>
      <c r="H560" s="102" t="n"/>
      <c r="I560" s="100" t="n"/>
      <c r="J560" s="102" t="n"/>
      <c r="K560" s="100" t="n"/>
      <c r="L560" s="102" t="n"/>
      <c r="M560" s="100" t="n"/>
    </row>
    <row r="561">
      <c r="A561" s="102" t="n"/>
      <c r="B561" s="100" t="n"/>
      <c r="C561" s="102" t="n"/>
      <c r="D561" s="100" t="n"/>
      <c r="E561" s="102" t="n"/>
      <c r="F561" s="100" t="n"/>
      <c r="G561" s="101" t="n"/>
      <c r="H561" s="102" t="n"/>
      <c r="I561" s="100" t="n"/>
      <c r="J561" s="102" t="n"/>
      <c r="K561" s="100" t="n"/>
      <c r="L561" s="102" t="n"/>
      <c r="M561" s="100" t="n"/>
    </row>
    <row r="562">
      <c r="A562" s="102" t="n"/>
      <c r="B562" s="100" t="n"/>
      <c r="C562" s="102" t="n"/>
      <c r="D562" s="100" t="n"/>
      <c r="E562" s="102" t="n"/>
      <c r="F562" s="100" t="n"/>
      <c r="G562" s="101" t="n"/>
      <c r="H562" s="102" t="n"/>
      <c r="I562" s="100" t="n"/>
      <c r="J562" s="102" t="n"/>
      <c r="K562" s="100" t="n"/>
      <c r="L562" s="102" t="n"/>
      <c r="M562" s="100" t="n"/>
    </row>
    <row r="563">
      <c r="A563" s="103" t="n"/>
      <c r="B563" s="103" t="n"/>
      <c r="C563" s="103" t="n"/>
      <c r="D563" s="103" t="n"/>
      <c r="E563" s="103" t="n"/>
      <c r="F563" s="103" t="n"/>
      <c r="G563" s="104" t="n"/>
      <c r="H563" s="103" t="n"/>
      <c r="I563" s="103" t="n"/>
      <c r="J563" s="103" t="n"/>
      <c r="K563" s="103" t="n"/>
      <c r="L563" s="103" t="n"/>
      <c r="M563" s="103" t="n"/>
    </row>
    <row r="564">
      <c r="A564" s="95" t="n"/>
      <c r="B564" s="97" t="n"/>
      <c r="C564" s="95" t="n"/>
      <c r="D564" s="97" t="n"/>
      <c r="E564" s="95" t="n"/>
      <c r="F564" s="97" t="n"/>
      <c r="G564" s="94" t="n"/>
      <c r="H564" s="95" t="n"/>
      <c r="I564" s="97" t="n"/>
      <c r="J564" s="95" t="n"/>
      <c r="K564" s="97" t="n"/>
      <c r="L564" s="95" t="n"/>
      <c r="M564" s="97" t="n"/>
    </row>
    <row r="565">
      <c r="A565" s="93" t="n"/>
      <c r="B565" s="93" t="n"/>
      <c r="C565" s="93" t="n"/>
      <c r="D565" s="93" t="n"/>
      <c r="E565" s="93" t="n"/>
      <c r="F565" s="93" t="n"/>
      <c r="G565" s="94" t="n"/>
      <c r="H565" s="93" t="n"/>
      <c r="I565" s="93" t="n"/>
      <c r="J565" s="93" t="n"/>
      <c r="K565" s="93" t="n"/>
      <c r="L565" s="93" t="n"/>
      <c r="M565" s="93" t="n"/>
    </row>
    <row r="566">
      <c r="A566" s="95" t="n"/>
      <c r="B566" s="97" t="n"/>
      <c r="C566" s="95" t="n"/>
      <c r="D566" s="97" t="n"/>
      <c r="E566" s="95" t="n"/>
      <c r="F566" s="97" t="n"/>
      <c r="G566" s="94" t="n"/>
      <c r="H566" s="95" t="n"/>
      <c r="I566" s="97" t="n"/>
      <c r="J566" s="95" t="n"/>
      <c r="K566" s="97" t="n"/>
      <c r="L566" s="95" t="n"/>
      <c r="M566" s="97" t="n"/>
    </row>
    <row r="567">
      <c r="A567" s="93" t="n"/>
      <c r="B567" s="93" t="n"/>
      <c r="C567" s="93" t="n"/>
      <c r="D567" s="93" t="n"/>
      <c r="E567" s="93" t="n"/>
      <c r="F567" s="93" t="n"/>
      <c r="G567" s="94" t="n"/>
      <c r="H567" s="93" t="n"/>
      <c r="I567" s="93" t="n"/>
      <c r="J567" s="93" t="n"/>
      <c r="K567" s="93" t="n"/>
      <c r="L567" s="93" t="n"/>
      <c r="M567" s="93" t="n"/>
    </row>
    <row r="568">
      <c r="A568" s="107" t="n"/>
      <c r="B568" s="107" t="n"/>
      <c r="C568" s="107" t="n"/>
      <c r="D568" s="107" t="n"/>
      <c r="E568" s="107" t="n"/>
      <c r="F568" s="90" t="n"/>
      <c r="G568" s="90" t="n"/>
      <c r="H568" s="90" t="n"/>
      <c r="I568" s="90" t="n"/>
      <c r="J568" s="90" t="n"/>
      <c r="K568" s="90" t="n"/>
      <c r="L568" s="90" t="n"/>
      <c r="M568" s="90" t="n"/>
    </row>
    <row r="569">
      <c r="A569" s="90" t="n"/>
      <c r="B569" s="90" t="n"/>
      <c r="C569" s="90" t="n"/>
      <c r="D569" s="90" t="n"/>
      <c r="E569" s="90" t="n"/>
      <c r="F569" s="91" t="n"/>
      <c r="G569" s="91" t="n"/>
      <c r="H569" s="91" t="n"/>
      <c r="I569" s="91" t="n"/>
      <c r="J569" s="90" t="n"/>
      <c r="K569" s="90" t="n"/>
      <c r="L569" s="90" t="n"/>
      <c r="M569" s="90" t="n"/>
    </row>
    <row r="570">
      <c r="A570" s="90" t="n"/>
      <c r="B570" s="90" t="n"/>
      <c r="C570" s="90" t="n"/>
      <c r="D570" s="90" t="n"/>
      <c r="E570" s="90" t="n"/>
      <c r="F570" s="91" t="n"/>
      <c r="G570" s="91" t="n"/>
      <c r="H570" s="91" t="n"/>
      <c r="I570" s="91" t="n"/>
      <c r="J570" s="90" t="n"/>
      <c r="K570" s="90" t="n"/>
      <c r="L570" s="90" t="n"/>
      <c r="M570" s="90" t="n"/>
    </row>
    <row r="571">
      <c r="A571" s="90" t="n"/>
      <c r="B571" s="90" t="n"/>
      <c r="C571" s="90" t="n"/>
      <c r="D571" s="90" t="n"/>
      <c r="E571" s="90" t="n"/>
      <c r="F571" s="91" t="n"/>
      <c r="G571" s="91" t="n"/>
      <c r="H571" s="91" t="n"/>
      <c r="I571" s="91" t="n"/>
      <c r="J571" s="90" t="n"/>
      <c r="K571" s="90" t="n"/>
      <c r="L571" s="90" t="n"/>
      <c r="M571" s="90" t="n"/>
    </row>
    <row r="572">
      <c r="A572" s="92" t="n"/>
      <c r="B572" s="92" t="n"/>
      <c r="C572" s="92" t="n"/>
      <c r="D572" s="92" t="n"/>
      <c r="E572" s="92" t="n"/>
      <c r="F572" s="92" t="n"/>
      <c r="H572" s="92" t="n"/>
      <c r="I572" s="92" t="n"/>
      <c r="J572" s="92" t="n"/>
      <c r="K572" s="92" t="n"/>
      <c r="L572" s="92" t="n"/>
      <c r="M572" s="92" t="n"/>
    </row>
    <row r="573" ht="15" customHeight="1" s="54" thickBot="1">
      <c r="A573" s="95" t="n"/>
      <c r="B573" s="97" t="n"/>
      <c r="C573" s="95" t="n"/>
      <c r="D573" s="97" t="n"/>
      <c r="E573" s="105" t="n"/>
      <c r="F573" s="97" t="n"/>
      <c r="G573" s="94" t="n"/>
      <c r="H573" s="95" t="n"/>
      <c r="I573" s="97" t="n"/>
      <c r="J573" s="95" t="n"/>
      <c r="K573" s="97" t="n"/>
      <c r="L573" s="105" t="n"/>
      <c r="M573" s="97" t="n"/>
    </row>
    <row r="574" ht="15" customHeight="1" s="54" thickTop="1">
      <c r="A574" s="108" t="n"/>
      <c r="B574" s="108" t="n"/>
      <c r="C574" s="108" t="n"/>
      <c r="D574" s="108" t="n"/>
      <c r="E574" s="108" t="n"/>
      <c r="F574" s="108" t="n"/>
      <c r="G574" s="109" t="n"/>
      <c r="H574" s="108" t="n"/>
      <c r="I574" s="108" t="n"/>
      <c r="J574" s="108" t="n"/>
      <c r="K574" s="108" t="n"/>
      <c r="L574" s="108" t="n"/>
      <c r="M574" s="108" t="n"/>
    </row>
    <row r="575">
      <c r="A575" s="107" t="n"/>
      <c r="B575" s="107" t="n"/>
      <c r="C575" s="107" t="n"/>
      <c r="D575" s="107" t="n"/>
      <c r="E575" s="107" t="n"/>
      <c r="F575" s="90" t="n"/>
      <c r="G575" s="90" t="n"/>
      <c r="H575" s="90" t="n"/>
      <c r="I575" s="90" t="n"/>
      <c r="J575" s="90" t="n"/>
      <c r="K575" s="90" t="n"/>
      <c r="L575" s="90" t="n"/>
      <c r="M575" s="90" t="n"/>
    </row>
    <row r="576">
      <c r="A576" s="90" t="n"/>
      <c r="B576" s="90" t="n"/>
      <c r="C576" s="90" t="n"/>
      <c r="D576" s="90" t="n"/>
      <c r="E576" s="90" t="n"/>
      <c r="F576" s="91" t="n"/>
      <c r="G576" s="91" t="n"/>
      <c r="H576" s="91" t="n"/>
      <c r="I576" s="91" t="n"/>
      <c r="J576" s="90" t="n"/>
      <c r="K576" s="90" t="n"/>
      <c r="L576" s="90" t="n"/>
      <c r="M576" s="90" t="n"/>
    </row>
    <row r="577">
      <c r="A577" s="90" t="n"/>
      <c r="B577" s="90" t="n"/>
      <c r="C577" s="90" t="n"/>
      <c r="D577" s="90" t="n"/>
      <c r="E577" s="90" t="n"/>
      <c r="F577" s="91" t="n"/>
      <c r="G577" s="91" t="n"/>
      <c r="H577" s="91" t="n"/>
      <c r="I577" s="91" t="n"/>
      <c r="J577" s="90" t="n"/>
      <c r="K577" s="90" t="n"/>
      <c r="L577" s="90" t="n"/>
      <c r="M577" s="90" t="n"/>
    </row>
    <row r="578">
      <c r="A578" s="90" t="n"/>
      <c r="B578" s="90" t="n"/>
      <c r="C578" s="90" t="n"/>
      <c r="D578" s="90" t="n"/>
      <c r="E578" s="90" t="n"/>
      <c r="F578" s="91" t="n"/>
      <c r="G578" s="91" t="n"/>
      <c r="H578" s="91" t="n"/>
      <c r="I578" s="91" t="n"/>
      <c r="J578" s="90" t="n"/>
      <c r="K578" s="90" t="n"/>
      <c r="L578" s="90" t="n"/>
      <c r="M578" s="90" t="n"/>
    </row>
    <row r="579">
      <c r="A579" s="92" t="n"/>
      <c r="B579" s="92" t="n"/>
      <c r="C579" s="92" t="n"/>
      <c r="D579" s="92" t="n"/>
      <c r="E579" s="92" t="n"/>
      <c r="F579" s="92" t="n"/>
      <c r="H579" s="92" t="n"/>
      <c r="I579" s="92" t="n"/>
      <c r="J579" s="92" t="n"/>
      <c r="K579" s="92" t="n"/>
      <c r="L579" s="92" t="n"/>
      <c r="M579" s="92" t="n"/>
    </row>
    <row r="580">
      <c r="A580" s="93" t="n"/>
      <c r="B580" s="93" t="n"/>
      <c r="C580" s="93" t="n"/>
      <c r="D580" s="93" t="n"/>
      <c r="E580" s="93" t="n"/>
      <c r="F580" s="93" t="n"/>
      <c r="G580" s="94" t="n"/>
      <c r="H580" s="93" t="n"/>
      <c r="I580" s="93" t="n"/>
      <c r="J580" s="93" t="n"/>
      <c r="K580" s="93" t="n"/>
      <c r="L580" s="93" t="n"/>
      <c r="M580" s="93" t="n"/>
    </row>
    <row r="581">
      <c r="A581" s="93" t="n"/>
      <c r="B581" s="93" t="n"/>
      <c r="C581" s="93" t="n"/>
      <c r="D581" s="93" t="n"/>
      <c r="E581" s="93" t="n"/>
      <c r="F581" s="93" t="n"/>
      <c r="G581" s="94" t="n"/>
      <c r="H581" s="93" t="n"/>
      <c r="I581" s="93" t="n"/>
      <c r="J581" s="93" t="n"/>
      <c r="K581" s="93" t="n"/>
      <c r="L581" s="93" t="n"/>
      <c r="M581" s="93" t="n"/>
    </row>
    <row r="582">
      <c r="A582" s="93" t="n"/>
      <c r="B582" s="93" t="n"/>
      <c r="C582" s="93" t="n"/>
      <c r="D582" s="93" t="n"/>
      <c r="E582" s="93" t="n"/>
      <c r="F582" s="93" t="n"/>
      <c r="G582" s="94" t="n"/>
      <c r="H582" s="93" t="n"/>
      <c r="I582" s="93" t="n"/>
      <c r="J582" s="93" t="n"/>
      <c r="K582" s="93" t="n"/>
      <c r="L582" s="93" t="n"/>
      <c r="M582" s="93" t="n"/>
    </row>
    <row r="583">
      <c r="A583" s="93" t="n"/>
      <c r="B583" s="93" t="n"/>
      <c r="C583" s="93" t="n"/>
      <c r="D583" s="93" t="n"/>
      <c r="E583" s="93" t="n"/>
      <c r="F583" s="93" t="n"/>
      <c r="G583" s="94" t="n"/>
      <c r="H583" s="93" t="n"/>
      <c r="I583" s="93" t="n"/>
      <c r="J583" s="93" t="n"/>
      <c r="K583" s="93" t="n"/>
      <c r="L583" s="93" t="n"/>
      <c r="M583" s="93" t="n"/>
    </row>
    <row r="584">
      <c r="A584" s="93" t="n"/>
      <c r="B584" s="93" t="n"/>
      <c r="C584" s="93" t="n"/>
      <c r="D584" s="93" t="n"/>
      <c r="E584" s="93" t="n"/>
      <c r="F584" s="93" t="n"/>
      <c r="G584" s="94" t="n"/>
      <c r="H584" s="93" t="n"/>
      <c r="I584" s="93" t="n"/>
      <c r="J584" s="93" t="n"/>
      <c r="K584" s="93" t="n"/>
      <c r="L584" s="93" t="n"/>
      <c r="M584" s="93" t="n"/>
    </row>
    <row r="585">
      <c r="A585" s="93" t="n"/>
      <c r="B585" s="93" t="n"/>
      <c r="C585" s="93" t="n"/>
      <c r="D585" s="93" t="n"/>
      <c r="E585" s="93" t="n"/>
      <c r="F585" s="93" t="n"/>
      <c r="G585" s="94" t="n"/>
      <c r="H585" s="93" t="n"/>
      <c r="I585" s="93" t="n"/>
      <c r="J585" s="93" t="n"/>
      <c r="K585" s="93" t="n"/>
      <c r="L585" s="93" t="n"/>
      <c r="M585" s="93" t="n"/>
    </row>
    <row r="586">
      <c r="A586" s="96" t="n"/>
      <c r="B586" s="97" t="n"/>
      <c r="C586" s="96" t="n"/>
      <c r="D586" s="97" t="n"/>
      <c r="E586" s="96" t="n"/>
      <c r="F586" s="97" t="n"/>
      <c r="G586" s="94" t="n"/>
      <c r="H586" s="96" t="n"/>
      <c r="I586" s="97" t="n"/>
      <c r="J586" s="96" t="n"/>
      <c r="K586" s="97" t="n"/>
      <c r="L586" s="96" t="n"/>
      <c r="M586" s="97" t="n"/>
    </row>
    <row r="587">
      <c r="A587" s="93" t="n"/>
      <c r="B587" s="93" t="n"/>
      <c r="C587" s="93" t="n"/>
      <c r="D587" s="93" t="n"/>
      <c r="E587" s="93" t="n"/>
      <c r="F587" s="93" t="n"/>
      <c r="G587" s="94" t="n"/>
      <c r="H587" s="93" t="n"/>
      <c r="I587" s="93" t="n"/>
      <c r="J587" s="93" t="n"/>
      <c r="K587" s="93" t="n"/>
      <c r="L587" s="93" t="n"/>
      <c r="M587" s="93" t="n"/>
    </row>
    <row r="588">
      <c r="A588" s="93" t="n"/>
      <c r="B588" s="93" t="n"/>
      <c r="C588" s="93" t="n"/>
      <c r="D588" s="93" t="n"/>
      <c r="E588" s="93" t="n"/>
      <c r="F588" s="93" t="n"/>
      <c r="G588" s="94" t="n"/>
      <c r="H588" s="93" t="n"/>
      <c r="I588" s="93" t="n"/>
      <c r="J588" s="93" t="n"/>
      <c r="K588" s="93" t="n"/>
      <c r="L588" s="93" t="n"/>
      <c r="M588" s="93" t="n"/>
    </row>
    <row r="589">
      <c r="A589" s="96" t="n"/>
      <c r="B589" s="97" t="n"/>
      <c r="C589" s="96" t="n"/>
      <c r="D589" s="97" t="n"/>
      <c r="E589" s="96" t="n"/>
      <c r="F589" s="97" t="n"/>
      <c r="G589" s="94" t="n"/>
      <c r="H589" s="96" t="n"/>
      <c r="I589" s="97" t="n"/>
      <c r="J589" s="96" t="n"/>
      <c r="K589" s="97" t="n"/>
      <c r="L589" s="96" t="n"/>
      <c r="M589" s="97" t="n"/>
    </row>
    <row r="590">
      <c r="A590" s="93" t="n"/>
      <c r="B590" s="93" t="n"/>
      <c r="C590" s="93" t="n"/>
      <c r="D590" s="93" t="n"/>
      <c r="E590" s="93" t="n"/>
      <c r="F590" s="93" t="n"/>
      <c r="G590" s="94" t="n"/>
      <c r="H590" s="93" t="n"/>
      <c r="I590" s="93" t="n"/>
      <c r="J590" s="93" t="n"/>
      <c r="K590" s="93" t="n"/>
      <c r="L590" s="93" t="n"/>
      <c r="M590" s="93" t="n"/>
    </row>
    <row r="591">
      <c r="A591" s="96" t="n"/>
      <c r="B591" s="97" t="n"/>
      <c r="C591" s="96" t="n"/>
      <c r="D591" s="97" t="n"/>
      <c r="E591" s="96" t="n"/>
      <c r="F591" s="97" t="n"/>
      <c r="G591" s="94" t="n"/>
      <c r="H591" s="96" t="n"/>
      <c r="I591" s="97" t="n"/>
      <c r="J591" s="96" t="n"/>
      <c r="K591" s="97" t="n"/>
      <c r="L591" s="96" t="n"/>
      <c r="M591" s="97" t="n"/>
    </row>
    <row r="592">
      <c r="A592" s="93" t="n"/>
      <c r="B592" s="93" t="n"/>
      <c r="C592" s="93" t="n"/>
      <c r="D592" s="93" t="n"/>
      <c r="E592" s="93" t="n"/>
      <c r="F592" s="93" t="n"/>
      <c r="G592" s="94" t="n"/>
      <c r="H592" s="93" t="n"/>
      <c r="I592" s="93" t="n"/>
      <c r="J592" s="93" t="n"/>
      <c r="K592" s="93" t="n"/>
      <c r="L592" s="93" t="n"/>
      <c r="M592" s="93" t="n"/>
    </row>
    <row r="593">
      <c r="A593" s="93" t="n"/>
      <c r="B593" s="93" t="n"/>
      <c r="C593" s="93" t="n"/>
      <c r="D593" s="93" t="n"/>
      <c r="E593" s="93" t="n"/>
      <c r="F593" s="93" t="n"/>
      <c r="G593" s="94" t="n"/>
      <c r="H593" s="93" t="n"/>
      <c r="I593" s="93" t="n"/>
      <c r="J593" s="93" t="n"/>
      <c r="K593" s="93" t="n"/>
      <c r="L593" s="93" t="n"/>
      <c r="M593" s="93" t="n"/>
    </row>
    <row r="594">
      <c r="A594" s="111" t="n"/>
      <c r="B594" s="111" t="n"/>
      <c r="C594" s="111" t="n"/>
      <c r="D594" s="111" t="n"/>
      <c r="E594" s="111" t="n"/>
      <c r="F594" s="111" t="n"/>
      <c r="G594" s="112" t="n"/>
      <c r="H594" s="111" t="n"/>
      <c r="I594" s="111" t="n"/>
      <c r="J594" s="111" t="n"/>
      <c r="K594" s="111" t="n"/>
      <c r="L594" s="111" t="n"/>
      <c r="M594" s="111" t="n"/>
    </row>
    <row r="595">
      <c r="A595" s="96" t="n"/>
      <c r="B595" s="97" t="n"/>
      <c r="C595" s="96" t="n"/>
      <c r="D595" s="97" t="n"/>
      <c r="E595" s="96" t="n"/>
      <c r="F595" s="97" t="n"/>
      <c r="G595" s="94" t="n"/>
      <c r="H595" s="96" t="n"/>
      <c r="I595" s="97" t="n"/>
      <c r="J595" s="96" t="n"/>
      <c r="K595" s="97" t="n"/>
      <c r="L595" s="96" t="n"/>
      <c r="M595" s="97" t="n"/>
    </row>
    <row r="596">
      <c r="A596" s="93" t="n"/>
      <c r="B596" s="93" t="n"/>
      <c r="C596" s="93" t="n"/>
      <c r="D596" s="93" t="n"/>
      <c r="E596" s="93" t="n"/>
      <c r="F596" s="93" t="n"/>
      <c r="G596" s="94" t="n"/>
      <c r="H596" s="93" t="n"/>
      <c r="I596" s="93" t="n"/>
      <c r="J596" s="93" t="n"/>
      <c r="K596" s="93" t="n"/>
      <c r="L596" s="93" t="n"/>
      <c r="M596" s="93" t="n"/>
    </row>
    <row r="597">
      <c r="A597" s="96" t="n"/>
      <c r="B597" s="97" t="n"/>
      <c r="C597" s="96" t="n"/>
      <c r="D597" s="97" t="n"/>
      <c r="E597" s="96" t="n"/>
      <c r="F597" s="97" t="n"/>
      <c r="G597" s="94" t="n"/>
      <c r="H597" s="96" t="n"/>
      <c r="I597" s="97" t="n"/>
      <c r="J597" s="96" t="n"/>
      <c r="K597" s="97" t="n"/>
      <c r="L597" s="96" t="n"/>
      <c r="M597" s="97" t="n"/>
    </row>
    <row r="598">
      <c r="A598" s="93" t="n"/>
      <c r="B598" s="93" t="n"/>
      <c r="C598" s="93" t="n"/>
      <c r="D598" s="93" t="n"/>
      <c r="E598" s="93" t="n"/>
      <c r="F598" s="93" t="n"/>
      <c r="G598" s="94" t="n"/>
      <c r="H598" s="93" t="n"/>
      <c r="I598" s="93" t="n"/>
      <c r="J598" s="93" t="n"/>
      <c r="K598" s="93" t="n"/>
      <c r="L598" s="93" t="n"/>
      <c r="M598" s="93" t="n"/>
    </row>
    <row r="599">
      <c r="A599" s="93" t="n"/>
      <c r="B599" s="93" t="n"/>
      <c r="C599" s="93" t="n"/>
      <c r="D599" s="93" t="n"/>
      <c r="E599" s="93" t="n"/>
      <c r="F599" s="93" t="n"/>
      <c r="G599" s="94" t="n"/>
      <c r="H599" s="93" t="n"/>
      <c r="I599" s="93" t="n"/>
      <c r="J599" s="93" t="n"/>
      <c r="K599" s="93" t="n"/>
      <c r="L599" s="93" t="n"/>
      <c r="M599" s="93" t="n"/>
    </row>
    <row r="600">
      <c r="A600" s="111" t="n"/>
      <c r="B600" s="111" t="n"/>
      <c r="C600" s="111" t="n"/>
      <c r="D600" s="111" t="n"/>
      <c r="E600" s="111" t="n"/>
      <c r="F600" s="111" t="n"/>
      <c r="G600" s="112" t="n"/>
      <c r="H600" s="111" t="n"/>
      <c r="I600" s="111" t="n"/>
      <c r="J600" s="111" t="n"/>
      <c r="K600" s="111" t="n"/>
      <c r="L600" s="111" t="n"/>
      <c r="M600" s="111" t="n"/>
    </row>
    <row r="601">
      <c r="A601" s="96" t="n"/>
      <c r="B601" s="97" t="n"/>
      <c r="C601" s="96" t="n"/>
      <c r="D601" s="97" t="n"/>
      <c r="E601" s="96" t="n"/>
      <c r="F601" s="97" t="n"/>
      <c r="G601" s="94" t="n"/>
      <c r="H601" s="96" t="n"/>
      <c r="I601" s="97" t="n"/>
      <c r="J601" s="96" t="n"/>
      <c r="K601" s="97" t="n"/>
      <c r="L601" s="96" t="n"/>
      <c r="M601" s="97" t="n"/>
    </row>
    <row r="602">
      <c r="A602" s="93" t="n"/>
      <c r="B602" s="93" t="n"/>
      <c r="C602" s="93" t="n"/>
      <c r="D602" s="93" t="n"/>
      <c r="E602" s="93" t="n"/>
      <c r="F602" s="93" t="n"/>
      <c r="G602" s="94" t="n"/>
      <c r="H602" s="93" t="n"/>
      <c r="I602" s="93" t="n"/>
      <c r="J602" s="93" t="n"/>
      <c r="K602" s="93" t="n"/>
      <c r="L602" s="93" t="n"/>
      <c r="M602" s="93" t="n"/>
    </row>
    <row r="603" ht="15" customHeight="1" s="54" thickBot="1">
      <c r="A603" s="96" t="n"/>
      <c r="B603" s="97" t="n"/>
      <c r="C603" s="96" t="n"/>
      <c r="D603" s="97" t="n"/>
      <c r="E603" s="96" t="n"/>
      <c r="F603" s="97" t="n"/>
      <c r="G603" s="94" t="n"/>
      <c r="H603" s="96" t="n"/>
      <c r="I603" s="97" t="n"/>
      <c r="J603" s="96" t="n"/>
      <c r="K603" s="97" t="n"/>
      <c r="L603" s="96" t="n"/>
      <c r="M603" s="97" t="n"/>
    </row>
    <row r="604" ht="15" customHeight="1" s="54" thickTop="1">
      <c r="A604" s="108" t="n"/>
      <c r="B604" s="108" t="n"/>
      <c r="C604" s="108" t="n"/>
      <c r="D604" s="108" t="n"/>
      <c r="E604" s="108" t="n"/>
      <c r="F604" s="108" t="n"/>
      <c r="G604" s="109" t="n"/>
      <c r="H604" s="108" t="n"/>
      <c r="I604" s="108" t="n"/>
      <c r="J604" s="108" t="n"/>
      <c r="K604" s="108" t="n"/>
      <c r="L604" s="108" t="n"/>
      <c r="M604" s="108" t="n"/>
    </row>
    <row r="605">
      <c r="A605" s="107" t="n"/>
      <c r="B605" s="107" t="n"/>
      <c r="C605" s="107" t="n"/>
      <c r="D605" s="107" t="n"/>
      <c r="E605" s="107" t="n"/>
      <c r="F605" s="90" t="n"/>
      <c r="G605" s="90" t="n"/>
      <c r="H605" s="90" t="n"/>
      <c r="I605" s="90" t="n"/>
      <c r="J605" s="90" t="n"/>
      <c r="K605" s="90" t="n"/>
      <c r="L605" s="90" t="n"/>
      <c r="M605" s="90" t="n"/>
    </row>
    <row r="606">
      <c r="A606" s="90" t="n"/>
      <c r="B606" s="90" t="n"/>
      <c r="C606" s="90" t="n"/>
      <c r="D606" s="90" t="n"/>
      <c r="E606" s="90" t="n"/>
      <c r="F606" s="91" t="n"/>
      <c r="G606" s="91" t="n"/>
      <c r="H606" s="91" t="n"/>
      <c r="I606" s="91" t="n"/>
      <c r="J606" s="90" t="n"/>
      <c r="K606" s="90" t="n"/>
      <c r="L606" s="90" t="n"/>
      <c r="M606" s="90" t="n"/>
    </row>
    <row r="607">
      <c r="A607" s="90" t="n"/>
      <c r="B607" s="90" t="n"/>
      <c r="C607" s="90" t="n"/>
      <c r="D607" s="90" t="n"/>
      <c r="E607" s="90" t="n"/>
      <c r="F607" s="91" t="n"/>
      <c r="G607" s="91" t="n"/>
      <c r="H607" s="91" t="n"/>
      <c r="I607" s="91" t="n"/>
      <c r="J607" s="90" t="n"/>
      <c r="K607" s="90" t="n"/>
      <c r="L607" s="90" t="n"/>
      <c r="M607" s="90" t="n"/>
    </row>
    <row r="608">
      <c r="A608" s="90" t="n"/>
      <c r="B608" s="90" t="n"/>
      <c r="C608" s="90" t="n"/>
      <c r="D608" s="90" t="n"/>
      <c r="E608" s="90" t="n"/>
      <c r="F608" s="91" t="n"/>
      <c r="G608" s="91" t="n"/>
      <c r="H608" s="91" t="n"/>
      <c r="I608" s="91" t="n"/>
      <c r="J608" s="90" t="n"/>
      <c r="K608" s="90" t="n"/>
      <c r="L608" s="90" t="n"/>
      <c r="M608" s="90" t="n"/>
    </row>
    <row r="609">
      <c r="A609" s="92" t="n"/>
      <c r="B609" s="92" t="n"/>
      <c r="C609" s="92" t="n"/>
      <c r="D609" s="92" t="n"/>
      <c r="E609" s="92" t="n"/>
      <c r="F609" s="92" t="n"/>
      <c r="H609" s="92" t="n"/>
      <c r="I609" s="92" t="n"/>
      <c r="J609" s="92" t="n"/>
      <c r="K609" s="92" t="n"/>
      <c r="L609" s="92" t="n"/>
      <c r="M609" s="92" t="n"/>
    </row>
    <row r="610">
      <c r="A610" s="93" t="n"/>
      <c r="B610" s="93" t="n"/>
      <c r="C610" s="93" t="n"/>
      <c r="D610" s="93" t="n"/>
      <c r="E610" s="93" t="n"/>
      <c r="F610" s="93" t="n"/>
      <c r="G610" s="94" t="n"/>
      <c r="H610" s="93" t="n"/>
      <c r="I610" s="93" t="n"/>
      <c r="J610" s="93" t="n"/>
      <c r="K610" s="93" t="n"/>
      <c r="L610" s="93" t="n"/>
      <c r="M610" s="93" t="n"/>
    </row>
    <row r="611">
      <c r="A611" s="93" t="n"/>
      <c r="B611" s="93" t="n"/>
      <c r="C611" s="93" t="n"/>
      <c r="D611" s="93" t="n"/>
      <c r="E611" s="93" t="n"/>
      <c r="F611" s="93" t="n"/>
      <c r="G611" s="94" t="n"/>
      <c r="H611" s="93" t="n"/>
      <c r="I611" s="93" t="n"/>
      <c r="J611" s="93" t="n"/>
      <c r="K611" s="93" t="n"/>
      <c r="L611" s="93" t="n"/>
      <c r="M611" s="93" t="n"/>
    </row>
    <row r="612">
      <c r="A612" s="113" t="n"/>
      <c r="B612" s="106" t="n"/>
      <c r="C612" s="113" t="n"/>
      <c r="D612" s="106" t="n"/>
      <c r="E612" s="113" t="n"/>
      <c r="F612" s="106" t="n"/>
      <c r="G612" s="101" t="n"/>
      <c r="H612" s="113" t="n"/>
      <c r="I612" s="106" t="n"/>
      <c r="J612" s="113" t="n"/>
      <c r="K612" s="106" t="n"/>
      <c r="L612" s="113" t="n"/>
      <c r="M612" s="106" t="n"/>
    </row>
    <row r="613">
      <c r="A613" s="113" t="n"/>
      <c r="B613" s="106" t="n"/>
      <c r="C613" s="113" t="n"/>
      <c r="D613" s="106" t="n"/>
      <c r="E613" s="113" t="n"/>
      <c r="F613" s="106" t="n"/>
      <c r="G613" s="101" t="n"/>
      <c r="H613" s="113" t="n"/>
      <c r="I613" s="106" t="n"/>
      <c r="J613" s="113" t="n"/>
      <c r="K613" s="106" t="n"/>
      <c r="L613" s="113" t="n"/>
      <c r="M613" s="106" t="n"/>
    </row>
    <row r="614">
      <c r="A614" s="113" t="n"/>
      <c r="B614" s="106" t="n"/>
      <c r="C614" s="113" t="n"/>
      <c r="D614" s="106" t="n"/>
      <c r="E614" s="113" t="n"/>
      <c r="F614" s="106" t="n"/>
      <c r="G614" s="101" t="n"/>
      <c r="H614" s="113" t="n"/>
      <c r="I614" s="106" t="n"/>
      <c r="J614" s="113" t="n"/>
      <c r="K614" s="106" t="n"/>
      <c r="L614" s="113" t="n"/>
      <c r="M614" s="106" t="n"/>
    </row>
    <row r="615">
      <c r="A615" s="113" t="n"/>
      <c r="B615" s="106" t="n"/>
      <c r="C615" s="113" t="n"/>
      <c r="D615" s="106" t="n"/>
      <c r="E615" s="113" t="n"/>
      <c r="F615" s="106" t="n"/>
      <c r="G615" s="101" t="n"/>
      <c r="H615" s="113" t="n"/>
      <c r="I615" s="106" t="n"/>
      <c r="J615" s="113" t="n"/>
      <c r="K615" s="106" t="n"/>
      <c r="L615" s="113" t="n"/>
      <c r="M615" s="106" t="n"/>
    </row>
    <row r="616">
      <c r="A616" s="113" t="n"/>
      <c r="B616" s="106" t="n"/>
      <c r="C616" s="113" t="n"/>
      <c r="D616" s="106" t="n"/>
      <c r="E616" s="113" t="n"/>
      <c r="F616" s="106" t="n"/>
      <c r="G616" s="101" t="n"/>
      <c r="H616" s="113" t="n"/>
      <c r="I616" s="106" t="n"/>
      <c r="J616" s="113" t="n"/>
      <c r="K616" s="106" t="n"/>
      <c r="L616" s="113" t="n"/>
      <c r="M616" s="106" t="n"/>
    </row>
    <row r="617">
      <c r="A617" s="113" t="n"/>
      <c r="B617" s="106" t="n"/>
      <c r="C617" s="113" t="n"/>
      <c r="D617" s="106" t="n"/>
      <c r="E617" s="113" t="n"/>
      <c r="F617" s="106" t="n"/>
      <c r="G617" s="101" t="n"/>
      <c r="H617" s="113" t="n"/>
      <c r="I617" s="106" t="n"/>
      <c r="J617" s="113" t="n"/>
      <c r="K617" s="106" t="n"/>
      <c r="L617" s="113" t="n"/>
      <c r="M617" s="106" t="n"/>
    </row>
    <row r="618">
      <c r="A618" s="113" t="n"/>
      <c r="B618" s="106" t="n"/>
      <c r="C618" s="113" t="n"/>
      <c r="D618" s="106" t="n"/>
      <c r="E618" s="113" t="n"/>
      <c r="F618" s="106" t="n"/>
      <c r="G618" s="101" t="n"/>
      <c r="H618" s="113" t="n"/>
      <c r="I618" s="106" t="n"/>
      <c r="J618" s="113" t="n"/>
      <c r="K618" s="106" t="n"/>
      <c r="L618" s="113" t="n"/>
      <c r="M618" s="106" t="n"/>
    </row>
    <row r="619">
      <c r="A619" s="113" t="n"/>
      <c r="B619" s="106" t="n"/>
      <c r="C619" s="113" t="n"/>
      <c r="D619" s="106" t="n"/>
      <c r="E619" s="113" t="n"/>
      <c r="F619" s="106" t="n"/>
      <c r="G619" s="101" t="n"/>
      <c r="H619" s="113" t="n"/>
      <c r="I619" s="106" t="n"/>
      <c r="J619" s="113" t="n"/>
      <c r="K619" s="106" t="n"/>
      <c r="L619" s="113" t="n"/>
      <c r="M619" s="106" t="n"/>
    </row>
    <row r="620">
      <c r="A620" s="113" t="n"/>
      <c r="B620" s="106" t="n"/>
      <c r="C620" s="113" t="n"/>
      <c r="D620" s="106" t="n"/>
      <c r="E620" s="113" t="n"/>
      <c r="F620" s="106" t="n"/>
      <c r="G620" s="101" t="n"/>
      <c r="H620" s="113" t="n"/>
      <c r="I620" s="106" t="n"/>
      <c r="J620" s="113" t="n"/>
      <c r="K620" s="106" t="n"/>
      <c r="L620" s="113" t="n"/>
      <c r="M620" s="106" t="n"/>
    </row>
    <row r="621">
      <c r="A621" s="113" t="n"/>
      <c r="B621" s="106" t="n"/>
      <c r="C621" s="113" t="n"/>
      <c r="D621" s="106" t="n"/>
      <c r="E621" s="113" t="n"/>
      <c r="F621" s="106" t="n"/>
      <c r="G621" s="101" t="n"/>
      <c r="H621" s="113" t="n"/>
      <c r="I621" s="106" t="n"/>
      <c r="J621" s="113" t="n"/>
      <c r="K621" s="106" t="n"/>
      <c r="L621" s="113" t="n"/>
      <c r="M621" s="106" t="n"/>
    </row>
    <row r="622">
      <c r="A622" s="113" t="n"/>
      <c r="B622" s="106" t="n"/>
      <c r="C622" s="113" t="n"/>
      <c r="D622" s="106" t="n"/>
      <c r="E622" s="113" t="n"/>
      <c r="F622" s="106" t="n"/>
      <c r="G622" s="101" t="n"/>
      <c r="H622" s="113" t="n"/>
      <c r="I622" s="106" t="n"/>
      <c r="J622" s="113" t="n"/>
      <c r="K622" s="106" t="n"/>
      <c r="L622" s="113" t="n"/>
      <c r="M622" s="106" t="n"/>
    </row>
    <row r="623">
      <c r="A623" s="113" t="n"/>
      <c r="B623" s="106" t="n"/>
      <c r="C623" s="113" t="n"/>
      <c r="D623" s="106" t="n"/>
      <c r="E623" s="113" t="n"/>
      <c r="F623" s="106" t="n"/>
      <c r="G623" s="101" t="n"/>
      <c r="H623" s="113" t="n"/>
      <c r="I623" s="106" t="n"/>
      <c r="J623" s="113" t="n"/>
      <c r="K623" s="106" t="n"/>
      <c r="L623" s="113" t="n"/>
      <c r="M623" s="106" t="n"/>
    </row>
    <row r="624">
      <c r="A624" s="113" t="n"/>
      <c r="B624" s="106" t="n"/>
      <c r="C624" s="113" t="n"/>
      <c r="D624" s="106" t="n"/>
      <c r="E624" s="113" t="n"/>
      <c r="F624" s="106" t="n"/>
      <c r="G624" s="101" t="n"/>
      <c r="H624" s="113" t="n"/>
      <c r="I624" s="106" t="n"/>
      <c r="J624" s="113" t="n"/>
      <c r="K624" s="106" t="n"/>
      <c r="L624" s="113" t="n"/>
      <c r="M624" s="106" t="n"/>
    </row>
    <row r="625">
      <c r="A625" s="113" t="n"/>
      <c r="B625" s="106" t="n"/>
      <c r="C625" s="113" t="n"/>
      <c r="D625" s="106" t="n"/>
      <c r="E625" s="113" t="n"/>
      <c r="F625" s="106" t="n"/>
      <c r="G625" s="101" t="n"/>
      <c r="H625" s="113" t="n"/>
      <c r="I625" s="106" t="n"/>
      <c r="J625" s="113" t="n"/>
      <c r="K625" s="106" t="n"/>
      <c r="L625" s="113" t="n"/>
      <c r="M625" s="106" t="n"/>
    </row>
    <row r="626">
      <c r="A626" s="113" t="n"/>
      <c r="B626" s="106" t="n"/>
      <c r="C626" s="113" t="n"/>
      <c r="D626" s="106" t="n"/>
      <c r="E626" s="113" t="n"/>
      <c r="F626" s="106" t="n"/>
      <c r="G626" s="101" t="n"/>
      <c r="H626" s="113" t="n"/>
      <c r="I626" s="106" t="n"/>
      <c r="J626" s="113" t="n"/>
      <c r="K626" s="106" t="n"/>
      <c r="L626" s="113" t="n"/>
      <c r="M626" s="106" t="n"/>
    </row>
    <row r="627">
      <c r="A627" s="113" t="n"/>
      <c r="B627" s="106" t="n"/>
      <c r="C627" s="113" t="n"/>
      <c r="D627" s="106" t="n"/>
      <c r="E627" s="113" t="n"/>
      <c r="F627" s="106" t="n"/>
      <c r="G627" s="101" t="n"/>
      <c r="H627" s="113" t="n"/>
      <c r="I627" s="106" t="n"/>
      <c r="J627" s="113" t="n"/>
      <c r="K627" s="106" t="n"/>
      <c r="L627" s="113" t="n"/>
      <c r="M627" s="106" t="n"/>
    </row>
    <row r="628">
      <c r="A628" s="113" t="n"/>
      <c r="B628" s="106" t="n"/>
      <c r="C628" s="113" t="n"/>
      <c r="D628" s="106" t="n"/>
      <c r="E628" s="113" t="n"/>
      <c r="F628" s="106" t="n"/>
      <c r="G628" s="101" t="n"/>
      <c r="H628" s="113" t="n"/>
      <c r="I628" s="106" t="n"/>
      <c r="J628" s="113" t="n"/>
      <c r="K628" s="106" t="n"/>
      <c r="L628" s="113" t="n"/>
      <c r="M628" s="106" t="n"/>
    </row>
    <row r="629">
      <c r="A629" s="113" t="n"/>
      <c r="B629" s="106" t="n"/>
      <c r="C629" s="113" t="n"/>
      <c r="D629" s="106" t="n"/>
      <c r="E629" s="113" t="n"/>
      <c r="F629" s="106" t="n"/>
      <c r="G629" s="101" t="n"/>
      <c r="H629" s="113" t="n"/>
      <c r="I629" s="106" t="n"/>
      <c r="J629" s="113" t="n"/>
      <c r="K629" s="106" t="n"/>
      <c r="L629" s="113" t="n"/>
      <c r="M629" s="106" t="n"/>
    </row>
    <row r="630">
      <c r="A630" s="107" t="n"/>
      <c r="B630" s="107" t="n"/>
      <c r="C630" s="107" t="n"/>
      <c r="D630" s="107" t="n"/>
      <c r="E630" s="107" t="n"/>
      <c r="F630" s="90" t="n"/>
      <c r="G630" s="90" t="n"/>
      <c r="H630" s="90" t="n"/>
      <c r="I630" s="90" t="n"/>
      <c r="J630" s="90" t="n"/>
      <c r="K630" s="90" t="n"/>
      <c r="L630" s="90" t="n"/>
      <c r="M630" s="90" t="n"/>
    </row>
    <row r="631">
      <c r="A631" s="90" t="n"/>
      <c r="B631" s="90" t="n"/>
      <c r="C631" s="90" t="n"/>
      <c r="D631" s="90" t="n"/>
      <c r="E631" s="90" t="n"/>
      <c r="F631" s="91" t="n"/>
      <c r="G631" s="91" t="n"/>
      <c r="H631" s="91" t="n"/>
      <c r="I631" s="91" t="n"/>
      <c r="J631" s="90" t="n"/>
      <c r="K631" s="90" t="n"/>
      <c r="L631" s="90" t="n"/>
      <c r="M631" s="90" t="n"/>
    </row>
    <row r="632">
      <c r="A632" s="90" t="n"/>
      <c r="B632" s="90" t="n"/>
      <c r="C632" s="90" t="n"/>
      <c r="D632" s="90" t="n"/>
      <c r="E632" s="90" t="n"/>
      <c r="F632" s="91" t="n"/>
      <c r="G632" s="91" t="n"/>
      <c r="H632" s="91" t="n"/>
      <c r="I632" s="91" t="n"/>
      <c r="J632" s="90" t="n"/>
      <c r="K632" s="90" t="n"/>
      <c r="L632" s="90" t="n"/>
      <c r="M632" s="90" t="n"/>
    </row>
    <row r="633">
      <c r="A633" s="90" t="n"/>
      <c r="B633" s="90" t="n"/>
      <c r="C633" s="90" t="n"/>
      <c r="D633" s="90" t="n"/>
      <c r="E633" s="90" t="n"/>
      <c r="F633" s="91" t="n"/>
      <c r="G633" s="91" t="n"/>
      <c r="H633" s="91" t="n"/>
      <c r="I633" s="91" t="n"/>
      <c r="J633" s="90" t="n"/>
      <c r="K633" s="90" t="n"/>
      <c r="L633" s="90" t="n"/>
      <c r="M633" s="90" t="n"/>
    </row>
    <row r="634">
      <c r="A634" s="92" t="n"/>
      <c r="B634" s="92" t="n"/>
      <c r="C634" s="92" t="n"/>
      <c r="D634" s="92" t="n"/>
      <c r="E634" s="92" t="n"/>
      <c r="F634" s="92" t="n"/>
      <c r="H634" s="92" t="n"/>
      <c r="I634" s="92" t="n"/>
      <c r="J634" s="92" t="n"/>
      <c r="K634" s="92" t="n"/>
      <c r="L634" s="92" t="n"/>
      <c r="M634" s="92" t="n"/>
    </row>
    <row r="635">
      <c r="A635" s="93" t="n"/>
      <c r="B635" s="93" t="n"/>
      <c r="C635" s="93" t="n"/>
      <c r="D635" s="93" t="n"/>
      <c r="E635" s="93" t="n"/>
      <c r="F635" s="93" t="n"/>
      <c r="G635" s="94" t="n"/>
      <c r="H635" s="93" t="n"/>
      <c r="I635" s="93" t="n"/>
      <c r="J635" s="93" t="n"/>
      <c r="K635" s="93" t="n"/>
      <c r="L635" s="93" t="n"/>
      <c r="M635" s="93" t="n"/>
    </row>
    <row r="636">
      <c r="A636" s="93" t="n"/>
      <c r="B636" s="93" t="n"/>
      <c r="C636" s="93" t="n"/>
      <c r="D636" s="93" t="n"/>
      <c r="E636" s="93" t="n"/>
      <c r="F636" s="93" t="n"/>
      <c r="G636" s="94" t="n"/>
      <c r="H636" s="93" t="n"/>
      <c r="I636" s="93" t="n"/>
      <c r="J636" s="93" t="n"/>
      <c r="K636" s="93" t="n"/>
      <c r="L636" s="93" t="n"/>
      <c r="M636" s="93" t="n"/>
    </row>
    <row r="637">
      <c r="A637" s="93" t="n"/>
      <c r="B637" s="93" t="n"/>
      <c r="C637" s="93" t="n"/>
      <c r="D637" s="93" t="n"/>
      <c r="E637" s="93" t="n"/>
      <c r="F637" s="93" t="n"/>
      <c r="G637" s="94" t="n"/>
      <c r="H637" s="93" t="n"/>
      <c r="I637" s="93" t="n"/>
      <c r="J637" s="93" t="n"/>
      <c r="K637" s="93" t="n"/>
      <c r="L637" s="93" t="n"/>
      <c r="M637" s="93" t="n"/>
    </row>
    <row r="638">
      <c r="A638" s="99" t="n"/>
      <c r="B638" s="100" t="n"/>
      <c r="C638" s="99" t="n"/>
      <c r="D638" s="100" t="n"/>
      <c r="E638" s="99" t="n"/>
      <c r="F638" s="100" t="n"/>
      <c r="G638" s="101" t="n"/>
      <c r="H638" s="99" t="n"/>
      <c r="I638" s="100" t="n"/>
      <c r="J638" s="99" t="n"/>
      <c r="K638" s="100" t="n"/>
      <c r="L638" s="99" t="n"/>
      <c r="M638" s="100" t="n"/>
    </row>
    <row r="639">
      <c r="A639" s="102" t="n"/>
      <c r="B639" s="100" t="n"/>
      <c r="C639" s="102" t="n"/>
      <c r="D639" s="100" t="n"/>
      <c r="E639" s="102" t="n"/>
      <c r="F639" s="100" t="n"/>
      <c r="G639" s="101" t="n"/>
      <c r="H639" s="102" t="n"/>
      <c r="I639" s="100" t="n"/>
      <c r="J639" s="102" t="n"/>
      <c r="K639" s="100" t="n"/>
      <c r="L639" s="102" t="n"/>
      <c r="M639" s="100" t="n"/>
    </row>
    <row r="640">
      <c r="A640" s="103" t="n"/>
      <c r="B640" s="103" t="n"/>
      <c r="C640" s="103" t="n"/>
      <c r="D640" s="103" t="n"/>
      <c r="E640" s="103" t="n"/>
      <c r="F640" s="103" t="n"/>
      <c r="G640" s="104" t="n"/>
      <c r="H640" s="103" t="n"/>
      <c r="I640" s="103" t="n"/>
      <c r="J640" s="103" t="n"/>
      <c r="K640" s="103" t="n"/>
      <c r="L640" s="103" t="n"/>
      <c r="M640" s="103" t="n"/>
    </row>
    <row r="641">
      <c r="A641" s="95" t="n"/>
      <c r="B641" s="97" t="n"/>
      <c r="C641" s="95" t="n"/>
      <c r="D641" s="97" t="n"/>
      <c r="E641" s="95" t="n"/>
      <c r="F641" s="97" t="n"/>
      <c r="G641" s="94" t="n"/>
      <c r="H641" s="95" t="n"/>
      <c r="I641" s="97" t="n"/>
      <c r="J641" s="95" t="n"/>
      <c r="K641" s="97" t="n"/>
      <c r="L641" s="95" t="n"/>
      <c r="M641" s="97" t="n"/>
    </row>
    <row r="642">
      <c r="A642" s="93" t="n"/>
      <c r="B642" s="93" t="n"/>
      <c r="C642" s="93" t="n"/>
      <c r="D642" s="93" t="n"/>
      <c r="E642" s="93" t="n"/>
      <c r="F642" s="93" t="n"/>
      <c r="G642" s="94" t="n"/>
      <c r="H642" s="93" t="n"/>
      <c r="I642" s="93" t="n"/>
      <c r="J642" s="93" t="n"/>
      <c r="K642" s="93" t="n"/>
      <c r="L642" s="93" t="n"/>
      <c r="M642" s="93" t="n"/>
    </row>
    <row r="643">
      <c r="A643" s="93" t="n"/>
      <c r="B643" s="93" t="n"/>
      <c r="C643" s="93" t="n"/>
      <c r="D643" s="93" t="n"/>
      <c r="E643" s="93" t="n"/>
      <c r="F643" s="93" t="n"/>
      <c r="G643" s="94" t="n"/>
      <c r="H643" s="93" t="n"/>
      <c r="I643" s="93" t="n"/>
      <c r="J643" s="93" t="n"/>
      <c r="K643" s="93" t="n"/>
      <c r="L643" s="93" t="n"/>
      <c r="M643" s="93" t="n"/>
    </row>
    <row r="644">
      <c r="A644" s="99" t="n"/>
      <c r="B644" s="100" t="n"/>
      <c r="C644" s="99" t="n"/>
      <c r="D644" s="100" t="n"/>
      <c r="E644" s="99" t="n"/>
      <c r="F644" s="100" t="n"/>
      <c r="G644" s="101" t="n"/>
      <c r="H644" s="99" t="n"/>
      <c r="I644" s="100" t="n"/>
      <c r="J644" s="99" t="n"/>
      <c r="K644" s="100" t="n"/>
      <c r="L644" s="99" t="n"/>
      <c r="M644" s="100" t="n"/>
    </row>
    <row r="645">
      <c r="A645" s="103" t="n"/>
      <c r="B645" s="103" t="n"/>
      <c r="C645" s="103" t="n"/>
      <c r="D645" s="103" t="n"/>
      <c r="E645" s="103" t="n"/>
      <c r="F645" s="103" t="n"/>
      <c r="G645" s="104" t="n"/>
      <c r="H645" s="103" t="n"/>
      <c r="I645" s="103" t="n"/>
      <c r="J645" s="103" t="n"/>
      <c r="K645" s="103" t="n"/>
      <c r="L645" s="103" t="n"/>
      <c r="M645" s="103" t="n"/>
    </row>
    <row r="646">
      <c r="A646" s="95" t="n"/>
      <c r="B646" s="97" t="n"/>
      <c r="C646" s="95" t="n"/>
      <c r="D646" s="97" t="n"/>
      <c r="E646" s="95" t="n"/>
      <c r="F646" s="97" t="n"/>
      <c r="G646" s="94" t="n"/>
      <c r="H646" s="95" t="n"/>
      <c r="I646" s="97" t="n"/>
      <c r="J646" s="95" t="n"/>
      <c r="K646" s="97" t="n"/>
      <c r="L646" s="95" t="n"/>
      <c r="M646" s="97" t="n"/>
    </row>
    <row r="647">
      <c r="A647" s="93" t="n"/>
      <c r="B647" s="93" t="n"/>
      <c r="C647" s="93" t="n"/>
      <c r="D647" s="93" t="n"/>
      <c r="E647" s="93" t="n"/>
      <c r="F647" s="93" t="n"/>
      <c r="G647" s="94" t="n"/>
      <c r="H647" s="93" t="n"/>
      <c r="I647" s="93" t="n"/>
      <c r="J647" s="93" t="n"/>
      <c r="K647" s="93" t="n"/>
      <c r="L647" s="93" t="n"/>
      <c r="M647" s="93" t="n"/>
    </row>
    <row r="648">
      <c r="A648" s="93" t="n"/>
      <c r="B648" s="93" t="n"/>
      <c r="C648" s="93" t="n"/>
      <c r="D648" s="93" t="n"/>
      <c r="E648" s="93" t="n"/>
      <c r="F648" s="93" t="n"/>
      <c r="G648" s="94" t="n"/>
      <c r="H648" s="93" t="n"/>
      <c r="I648" s="93" t="n"/>
      <c r="J648" s="93" t="n"/>
      <c r="K648" s="93" t="n"/>
      <c r="L648" s="93" t="n"/>
      <c r="M648" s="93" t="n"/>
    </row>
    <row r="649">
      <c r="A649" s="102" t="n"/>
      <c r="B649" s="100" t="n"/>
      <c r="C649" s="102" t="n"/>
      <c r="D649" s="100" t="n"/>
      <c r="E649" s="102" t="n"/>
      <c r="F649" s="100" t="n"/>
      <c r="G649" s="101" t="n"/>
      <c r="H649" s="102" t="n"/>
      <c r="I649" s="100" t="n"/>
      <c r="J649" s="102" t="n"/>
      <c r="K649" s="100" t="n"/>
      <c r="L649" s="102" t="n"/>
      <c r="M649" s="100" t="n"/>
    </row>
    <row r="650">
      <c r="A650" s="102" t="n"/>
      <c r="B650" s="100" t="n"/>
      <c r="C650" s="102" t="n"/>
      <c r="D650" s="100" t="n"/>
      <c r="E650" s="102" t="n"/>
      <c r="F650" s="100" t="n"/>
      <c r="G650" s="101" t="n"/>
      <c r="H650" s="102" t="n"/>
      <c r="I650" s="100" t="n"/>
      <c r="J650" s="102" t="n"/>
      <c r="K650" s="100" t="n"/>
      <c r="L650" s="102" t="n"/>
      <c r="M650" s="100" t="n"/>
    </row>
    <row r="651">
      <c r="A651" s="102" t="n"/>
      <c r="B651" s="100" t="n"/>
      <c r="C651" s="102" t="n"/>
      <c r="D651" s="100" t="n"/>
      <c r="E651" s="102" t="n"/>
      <c r="F651" s="100" t="n"/>
      <c r="G651" s="101" t="n"/>
      <c r="H651" s="102" t="n"/>
      <c r="I651" s="100" t="n"/>
      <c r="J651" s="102" t="n"/>
      <c r="K651" s="100" t="n"/>
      <c r="L651" s="102" t="n"/>
      <c r="M651" s="100" t="n"/>
    </row>
    <row r="652">
      <c r="A652" s="102" t="n"/>
      <c r="B652" s="100" t="n"/>
      <c r="C652" s="102" t="n"/>
      <c r="D652" s="100" t="n"/>
      <c r="E652" s="102" t="n"/>
      <c r="F652" s="100" t="n"/>
      <c r="G652" s="101" t="n"/>
      <c r="H652" s="102" t="n"/>
      <c r="I652" s="100" t="n"/>
      <c r="J652" s="102" t="n"/>
      <c r="K652" s="100" t="n"/>
      <c r="L652" s="102" t="n"/>
      <c r="M652" s="100" t="n"/>
    </row>
    <row r="653">
      <c r="A653" s="102" t="n"/>
      <c r="B653" s="100" t="n"/>
      <c r="C653" s="102" t="n"/>
      <c r="D653" s="100" t="n"/>
      <c r="E653" s="102" t="n"/>
      <c r="F653" s="100" t="n"/>
      <c r="G653" s="101" t="n"/>
      <c r="H653" s="102" t="n"/>
      <c r="I653" s="100" t="n"/>
      <c r="J653" s="102" t="n"/>
      <c r="K653" s="100" t="n"/>
      <c r="L653" s="102" t="n"/>
      <c r="M653" s="100" t="n"/>
    </row>
    <row r="654">
      <c r="A654" s="99" t="n"/>
      <c r="B654" s="100" t="n"/>
      <c r="C654" s="99" t="n"/>
      <c r="D654" s="100" t="n"/>
      <c r="E654" s="99" t="n"/>
      <c r="F654" s="100" t="n"/>
      <c r="G654" s="101" t="n"/>
      <c r="H654" s="99" t="n"/>
      <c r="I654" s="100" t="n"/>
      <c r="J654" s="99" t="n"/>
      <c r="K654" s="100" t="n"/>
      <c r="L654" s="99" t="n"/>
      <c r="M654" s="100" t="n"/>
    </row>
    <row r="655">
      <c r="A655" s="102" t="n"/>
      <c r="B655" s="100" t="n"/>
      <c r="C655" s="102" t="n"/>
      <c r="D655" s="100" t="n"/>
      <c r="E655" s="102" t="n"/>
      <c r="F655" s="100" t="n"/>
      <c r="G655" s="101" t="n"/>
      <c r="H655" s="102" t="n"/>
      <c r="I655" s="100" t="n"/>
      <c r="J655" s="102" t="n"/>
      <c r="K655" s="100" t="n"/>
      <c r="L655" s="102" t="n"/>
      <c r="M655" s="100" t="n"/>
    </row>
    <row r="656">
      <c r="A656" s="103" t="n"/>
      <c r="B656" s="103" t="n"/>
      <c r="C656" s="103" t="n"/>
      <c r="D656" s="103" t="n"/>
      <c r="E656" s="103" t="n"/>
      <c r="F656" s="103" t="n"/>
      <c r="G656" s="104" t="n"/>
      <c r="H656" s="103" t="n"/>
      <c r="I656" s="103" t="n"/>
      <c r="J656" s="103" t="n"/>
      <c r="K656" s="103" t="n"/>
      <c r="L656" s="103" t="n"/>
      <c r="M656" s="103" t="n"/>
    </row>
    <row r="657" ht="15" customHeight="1" s="54" thickBot="1">
      <c r="A657" s="95" t="n"/>
      <c r="B657" s="97" t="n"/>
      <c r="C657" s="95" t="n"/>
      <c r="D657" s="97" t="n"/>
      <c r="E657" s="95" t="n"/>
      <c r="F657" s="97" t="n"/>
      <c r="G657" s="94" t="n"/>
      <c r="H657" s="95" t="n"/>
      <c r="I657" s="97" t="n"/>
      <c r="J657" s="95" t="n"/>
      <c r="K657" s="97" t="n"/>
      <c r="L657" s="95" t="n"/>
      <c r="M657" s="97" t="n"/>
    </row>
    <row r="658" ht="15" customHeight="1" s="54" thickTop="1">
      <c r="A658" s="108" t="n"/>
      <c r="B658" s="108" t="n"/>
      <c r="C658" s="108" t="n"/>
      <c r="D658" s="108" t="n"/>
      <c r="E658" s="108" t="n"/>
      <c r="F658" s="108" t="n"/>
      <c r="G658" s="109" t="n"/>
      <c r="H658" s="108" t="n"/>
      <c r="I658" s="108" t="n"/>
      <c r="J658" s="108" t="n"/>
      <c r="K658" s="108" t="n"/>
      <c r="L658" s="108" t="n"/>
      <c r="M658" s="108" t="n"/>
    </row>
    <row r="659">
      <c r="A659" s="93" t="n"/>
      <c r="B659" s="93" t="n"/>
      <c r="C659" s="93" t="n"/>
      <c r="D659" s="93" t="n"/>
      <c r="E659" s="93" t="n"/>
      <c r="F659" s="93" t="n"/>
      <c r="G659" s="94" t="n"/>
      <c r="H659" s="93" t="n"/>
      <c r="I659" s="93" t="n"/>
      <c r="J659" s="93" t="n"/>
      <c r="K659" s="93" t="n"/>
      <c r="L659" s="93" t="n"/>
      <c r="M659" s="93" t="n"/>
    </row>
    <row r="660">
      <c r="A660" s="93" t="n"/>
      <c r="B660" s="93" t="n"/>
      <c r="C660" s="93" t="n"/>
      <c r="D660" s="93" t="n"/>
      <c r="E660" s="93" t="n"/>
      <c r="F660" s="93" t="n"/>
      <c r="G660" s="94" t="n"/>
      <c r="H660" s="93" t="n"/>
      <c r="I660" s="93" t="n"/>
      <c r="J660" s="93" t="n"/>
      <c r="K660" s="93" t="n"/>
      <c r="L660" s="93" t="n"/>
      <c r="M660" s="93" t="n"/>
    </row>
    <row r="661">
      <c r="A661" s="93" t="n"/>
      <c r="B661" s="93" t="n"/>
      <c r="C661" s="93" t="n"/>
      <c r="D661" s="93" t="n"/>
      <c r="E661" s="93" t="n"/>
      <c r="F661" s="93" t="n"/>
      <c r="G661" s="94" t="n"/>
      <c r="H661" s="93" t="n"/>
      <c r="I661" s="93" t="n"/>
      <c r="J661" s="93" t="n"/>
      <c r="K661" s="93" t="n"/>
      <c r="L661" s="93" t="n"/>
      <c r="M661" s="93" t="n"/>
    </row>
    <row r="662">
      <c r="A662" s="93" t="n"/>
      <c r="B662" s="93" t="n"/>
      <c r="C662" s="93" t="n"/>
      <c r="D662" s="93" t="n"/>
      <c r="E662" s="93" t="n"/>
      <c r="F662" s="93" t="n"/>
      <c r="G662" s="94" t="n"/>
      <c r="H662" s="93" t="n"/>
      <c r="I662" s="93" t="n"/>
      <c r="J662" s="93" t="n"/>
      <c r="K662" s="93" t="n"/>
      <c r="L662" s="93" t="n"/>
      <c r="M662" s="93" t="n"/>
    </row>
    <row r="663">
      <c r="A663" s="102" t="n"/>
      <c r="B663" s="100" t="n"/>
      <c r="C663" s="102" t="n"/>
      <c r="D663" s="100" t="n"/>
      <c r="E663" s="99" t="n"/>
      <c r="F663" s="100" t="n"/>
      <c r="G663" s="101" t="n"/>
      <c r="H663" s="102" t="n"/>
      <c r="I663" s="100" t="n"/>
      <c r="J663" s="102" t="n"/>
      <c r="K663" s="100" t="n"/>
      <c r="L663" s="99" t="n"/>
      <c r="M663" s="100" t="n"/>
    </row>
    <row r="664">
      <c r="A664" s="99" t="n"/>
      <c r="B664" s="100" t="n"/>
      <c r="C664" s="99" t="n"/>
      <c r="D664" s="100" t="n"/>
      <c r="E664" s="99" t="n"/>
      <c r="F664" s="100" t="n"/>
      <c r="G664" s="101" t="n"/>
      <c r="H664" s="99" t="n"/>
      <c r="I664" s="100" t="n"/>
      <c r="J664" s="99" t="n"/>
      <c r="K664" s="100" t="n"/>
      <c r="L664" s="99" t="n"/>
      <c r="M664" s="100" t="n"/>
    </row>
    <row r="665">
      <c r="A665" s="99" t="n"/>
      <c r="B665" s="100" t="n"/>
      <c r="C665" s="99" t="n"/>
      <c r="D665" s="100" t="n"/>
      <c r="E665" s="102" t="n"/>
      <c r="F665" s="100" t="n"/>
      <c r="G665" s="101" t="n"/>
      <c r="H665" s="99" t="n"/>
      <c r="I665" s="100" t="n"/>
      <c r="J665" s="99" t="n"/>
      <c r="K665" s="100" t="n"/>
      <c r="L665" s="102" t="n"/>
      <c r="M665" s="100" t="n"/>
    </row>
    <row r="666">
      <c r="A666" s="102" t="n"/>
      <c r="B666" s="100" t="n"/>
      <c r="C666" s="102" t="n"/>
      <c r="D666" s="100" t="n"/>
      <c r="E666" s="102" t="n"/>
      <c r="F666" s="100" t="n"/>
      <c r="G666" s="101" t="n"/>
      <c r="H666" s="102" t="n"/>
      <c r="I666" s="100" t="n"/>
      <c r="J666" s="102" t="n"/>
      <c r="K666" s="100" t="n"/>
      <c r="L666" s="102" t="n"/>
      <c r="M666" s="100" t="n"/>
    </row>
    <row r="667">
      <c r="A667" s="99" t="n"/>
      <c r="B667" s="100" t="n"/>
      <c r="C667" s="99" t="n"/>
      <c r="D667" s="100" t="n"/>
      <c r="E667" s="99" t="n"/>
      <c r="F667" s="100" t="n"/>
      <c r="G667" s="101" t="n"/>
      <c r="H667" s="99" t="n"/>
      <c r="I667" s="100" t="n"/>
      <c r="J667" s="99" t="n"/>
      <c r="K667" s="100" t="n"/>
      <c r="L667" s="99" t="n"/>
      <c r="M667" s="100" t="n"/>
    </row>
    <row r="668">
      <c r="A668" s="102" t="n"/>
      <c r="B668" s="100" t="n"/>
      <c r="C668" s="99" t="n"/>
      <c r="D668" s="100" t="n"/>
      <c r="E668" s="102" t="n"/>
      <c r="F668" s="100" t="n"/>
      <c r="G668" s="101" t="n"/>
      <c r="H668" s="102" t="n"/>
      <c r="I668" s="100" t="n"/>
      <c r="J668" s="99" t="n"/>
      <c r="K668" s="100" t="n"/>
      <c r="L668" s="102" t="n"/>
      <c r="M668" s="100" t="n"/>
    </row>
    <row r="669">
      <c r="A669" s="99" t="n"/>
      <c r="B669" s="100" t="n"/>
      <c r="C669" s="99" t="n"/>
      <c r="D669" s="100" t="n"/>
      <c r="E669" s="99" t="n"/>
      <c r="F669" s="100" t="n"/>
      <c r="G669" s="101" t="n"/>
      <c r="H669" s="99" t="n"/>
      <c r="I669" s="100" t="n"/>
      <c r="J669" s="99" t="n"/>
      <c r="K669" s="100" t="n"/>
      <c r="L669" s="99" t="n"/>
      <c r="M669" s="100" t="n"/>
    </row>
    <row r="670">
      <c r="A670" s="103" t="n"/>
      <c r="B670" s="103" t="n"/>
      <c r="C670" s="103" t="n"/>
      <c r="D670" s="103" t="n"/>
      <c r="E670" s="103" t="n"/>
      <c r="F670" s="103" t="n"/>
      <c r="G670" s="104" t="n"/>
      <c r="H670" s="103" t="n"/>
      <c r="I670" s="103" t="n"/>
      <c r="J670" s="103" t="n"/>
      <c r="K670" s="103" t="n"/>
      <c r="L670" s="103" t="n"/>
      <c r="M670" s="103" t="n"/>
    </row>
    <row r="671">
      <c r="A671" s="95" t="n"/>
      <c r="B671" s="97" t="n"/>
      <c r="C671" s="95" t="n"/>
      <c r="D671" s="97" t="n"/>
      <c r="E671" s="95" t="n"/>
      <c r="F671" s="97" t="n"/>
      <c r="G671" s="94" t="n"/>
      <c r="H671" s="95" t="n"/>
      <c r="I671" s="97" t="n"/>
      <c r="J671" s="95" t="n"/>
      <c r="K671" s="97" t="n"/>
      <c r="L671" s="95" t="n"/>
      <c r="M671" s="97" t="n"/>
    </row>
    <row r="672">
      <c r="A672" s="93" t="n"/>
      <c r="B672" s="93" t="n"/>
      <c r="C672" s="93" t="n"/>
      <c r="D672" s="93" t="n"/>
      <c r="E672" s="93" t="n"/>
      <c r="F672" s="93" t="n"/>
      <c r="G672" s="94" t="n"/>
      <c r="H672" s="93" t="n"/>
      <c r="I672" s="93" t="n"/>
      <c r="J672" s="93" t="n"/>
      <c r="K672" s="93" t="n"/>
      <c r="L672" s="93" t="n"/>
      <c r="M672" s="93" t="n"/>
    </row>
    <row r="673">
      <c r="A673" s="93" t="n"/>
      <c r="B673" s="93" t="n"/>
      <c r="C673" s="93" t="n"/>
      <c r="D673" s="93" t="n"/>
      <c r="E673" s="93" t="n"/>
      <c r="F673" s="93" t="n"/>
      <c r="G673" s="94" t="n"/>
      <c r="H673" s="93" t="n"/>
      <c r="I673" s="93" t="n"/>
      <c r="J673" s="93" t="n"/>
      <c r="K673" s="93" t="n"/>
      <c r="L673" s="93" t="n"/>
      <c r="M673" s="93" t="n"/>
    </row>
    <row r="674">
      <c r="A674" s="111" t="n"/>
      <c r="B674" s="111" t="n"/>
      <c r="C674" s="111" t="n"/>
      <c r="D674" s="111" t="n"/>
      <c r="E674" s="111" t="n"/>
      <c r="F674" s="111" t="n"/>
      <c r="G674" s="112" t="n"/>
      <c r="H674" s="111" t="n"/>
      <c r="I674" s="111" t="n"/>
      <c r="J674" s="111" t="n"/>
      <c r="K674" s="111" t="n"/>
      <c r="L674" s="111" t="n"/>
      <c r="M674" s="111" t="n"/>
    </row>
    <row r="675">
      <c r="A675" s="99" t="n"/>
      <c r="B675" s="100" t="n"/>
      <c r="C675" s="99" t="n"/>
      <c r="D675" s="100" t="n"/>
      <c r="E675" s="102" t="n"/>
      <c r="F675" s="100" t="n"/>
      <c r="G675" s="101" t="n"/>
      <c r="H675" s="99" t="n"/>
      <c r="I675" s="100" t="n"/>
      <c r="J675" s="99" t="n"/>
      <c r="K675" s="100" t="n"/>
      <c r="L675" s="102" t="n"/>
      <c r="M675" s="100" t="n"/>
    </row>
    <row r="676">
      <c r="A676" s="102" t="n"/>
      <c r="B676" s="100" t="n"/>
      <c r="C676" s="102" t="n"/>
      <c r="D676" s="100" t="n"/>
      <c r="E676" s="102" t="n"/>
      <c r="F676" s="100" t="n"/>
      <c r="G676" s="101" t="n"/>
      <c r="H676" s="102" t="n"/>
      <c r="I676" s="100" t="n"/>
      <c r="J676" s="102" t="n"/>
      <c r="K676" s="100" t="n"/>
      <c r="L676" s="102" t="n"/>
      <c r="M676" s="100" t="n"/>
    </row>
    <row r="677">
      <c r="A677" s="106" t="n"/>
      <c r="B677" s="106" t="n"/>
      <c r="C677" s="106" t="n"/>
      <c r="D677" s="106" t="n"/>
      <c r="E677" s="106" t="n"/>
      <c r="F677" s="106" t="n"/>
      <c r="G677" s="101" t="n"/>
      <c r="H677" s="106" t="n"/>
      <c r="I677" s="106" t="n"/>
      <c r="J677" s="106" t="n"/>
      <c r="K677" s="106" t="n"/>
      <c r="L677" s="106" t="n"/>
      <c r="M677" s="106" t="n"/>
    </row>
    <row r="678" ht="15" customHeight="1" s="54" thickBot="1">
      <c r="A678" s="95" t="n"/>
      <c r="B678" s="97" t="n"/>
      <c r="C678" s="95" t="n"/>
      <c r="D678" s="97" t="n"/>
      <c r="E678" s="96" t="n"/>
      <c r="F678" s="97" t="n"/>
      <c r="G678" s="94" t="n"/>
      <c r="H678" s="95" t="n"/>
      <c r="I678" s="97" t="n"/>
      <c r="J678" s="95" t="n"/>
      <c r="K678" s="97" t="n"/>
      <c r="L678" s="96" t="n"/>
      <c r="M678" s="97" t="n"/>
    </row>
    <row r="679" ht="15" customHeight="1" s="54" thickTop="1">
      <c r="A679" s="108" t="n"/>
      <c r="B679" s="108" t="n"/>
      <c r="C679" s="108" t="n"/>
      <c r="D679" s="108" t="n"/>
      <c r="E679" s="108" t="n"/>
      <c r="F679" s="108" t="n"/>
      <c r="G679" s="109" t="n"/>
      <c r="H679" s="108" t="n"/>
      <c r="I679" s="108" t="n"/>
      <c r="J679" s="108" t="n"/>
      <c r="K679" s="108" t="n"/>
      <c r="L679" s="108" t="n"/>
      <c r="M679" s="108" t="n"/>
    </row>
    <row r="680">
      <c r="A680" s="107" t="n"/>
      <c r="B680" s="107" t="n"/>
      <c r="C680" s="107" t="n"/>
      <c r="D680" s="107" t="n"/>
      <c r="E680" s="107" t="n"/>
      <c r="F680" s="90" t="n"/>
      <c r="G680" s="90" t="n"/>
      <c r="H680" s="90" t="n"/>
      <c r="I680" s="90" t="n"/>
      <c r="J680" s="90" t="n"/>
      <c r="K680" s="90" t="n"/>
      <c r="L680" s="90" t="n"/>
      <c r="M680" s="90" t="n"/>
    </row>
    <row r="681">
      <c r="A681" s="90" t="n"/>
      <c r="B681" s="90" t="n"/>
      <c r="C681" s="90" t="n"/>
      <c r="D681" s="90" t="n"/>
      <c r="E681" s="90" t="n"/>
      <c r="F681" s="91" t="n"/>
      <c r="G681" s="91" t="n"/>
      <c r="H681" s="91" t="n"/>
      <c r="I681" s="91" t="n"/>
      <c r="J681" s="90" t="n"/>
      <c r="K681" s="90" t="n"/>
      <c r="L681" s="90" t="n"/>
      <c r="M681" s="90" t="n"/>
    </row>
    <row r="682">
      <c r="A682" s="90" t="n"/>
      <c r="B682" s="90" t="n"/>
      <c r="C682" s="90" t="n"/>
      <c r="D682" s="90" t="n"/>
      <c r="E682" s="90" t="n"/>
      <c r="F682" s="91" t="n"/>
      <c r="G682" s="91" t="n"/>
      <c r="H682" s="91" t="n"/>
      <c r="I682" s="91" t="n"/>
      <c r="J682" s="90" t="n"/>
      <c r="K682" s="90" t="n"/>
      <c r="L682" s="90" t="n"/>
      <c r="M682" s="90" t="n"/>
    </row>
    <row r="683">
      <c r="A683" s="90" t="n"/>
      <c r="B683" s="90" t="n"/>
      <c r="C683" s="90" t="n"/>
      <c r="D683" s="90" t="n"/>
      <c r="E683" s="90" t="n"/>
      <c r="F683" s="91" t="n"/>
      <c r="G683" s="91" t="n"/>
      <c r="H683" s="91" t="n"/>
      <c r="I683" s="91" t="n"/>
      <c r="J683" s="90" t="n"/>
      <c r="K683" s="90" t="n"/>
      <c r="L683" s="90" t="n"/>
      <c r="M683" s="90" t="n"/>
    </row>
    <row r="684">
      <c r="A684" s="92" t="n"/>
      <c r="B684" s="92" t="n"/>
      <c r="C684" s="92" t="n"/>
      <c r="D684" s="92" t="n"/>
      <c r="E684" s="92" t="n"/>
      <c r="F684" s="92" t="n"/>
      <c r="H684" s="92" t="n"/>
      <c r="I684" s="92" t="n"/>
      <c r="J684" s="92" t="n"/>
      <c r="K684" s="92" t="n"/>
      <c r="L684" s="92" t="n"/>
      <c r="M684" s="92" t="n"/>
    </row>
    <row r="685">
      <c r="A685" s="93" t="n"/>
      <c r="B685" s="93" t="n"/>
      <c r="C685" s="93" t="n"/>
      <c r="D685" s="93" t="n"/>
      <c r="E685" s="93" t="n"/>
      <c r="F685" s="93" t="n"/>
      <c r="G685" s="94" t="n"/>
      <c r="H685" s="93" t="n"/>
      <c r="I685" s="93" t="n"/>
      <c r="J685" s="93" t="n"/>
      <c r="K685" s="93" t="n"/>
      <c r="L685" s="93" t="n"/>
      <c r="M685" s="93" t="n"/>
    </row>
    <row r="686">
      <c r="A686" s="93" t="n"/>
      <c r="B686" s="93" t="n"/>
      <c r="C686" s="93" t="n"/>
      <c r="D686" s="93" t="n"/>
      <c r="E686" s="93" t="n"/>
      <c r="F686" s="93" t="n"/>
      <c r="G686" s="94" t="n"/>
      <c r="H686" s="93" t="n"/>
      <c r="I686" s="93" t="n"/>
      <c r="J686" s="93" t="n"/>
      <c r="K686" s="93" t="n"/>
      <c r="L686" s="93" t="n"/>
      <c r="M686" s="93" t="n"/>
    </row>
    <row r="687">
      <c r="A687" s="93" t="n"/>
      <c r="B687" s="93" t="n"/>
      <c r="C687" s="93" t="n"/>
      <c r="D687" s="93" t="n"/>
      <c r="E687" s="93" t="n"/>
      <c r="F687" s="93" t="n"/>
      <c r="G687" s="94" t="n"/>
      <c r="H687" s="93" t="n"/>
      <c r="I687" s="93" t="n"/>
      <c r="J687" s="93" t="n"/>
      <c r="K687" s="93" t="n"/>
      <c r="L687" s="93" t="n"/>
      <c r="M687" s="93" t="n"/>
    </row>
    <row r="688">
      <c r="A688" s="99" t="n"/>
      <c r="B688" s="100" t="n"/>
      <c r="C688" s="99" t="n"/>
      <c r="D688" s="100" t="n"/>
      <c r="E688" s="99" t="n"/>
      <c r="F688" s="100" t="n"/>
      <c r="G688" s="101" t="n"/>
      <c r="H688" s="99" t="n"/>
      <c r="I688" s="100" t="n"/>
      <c r="J688" s="99" t="n"/>
      <c r="K688" s="100" t="n"/>
      <c r="L688" s="99" t="n"/>
      <c r="M688" s="100" t="n"/>
    </row>
    <row r="689">
      <c r="A689" s="99" t="n"/>
      <c r="B689" s="100" t="n"/>
      <c r="C689" s="99" t="n"/>
      <c r="D689" s="100" t="n"/>
      <c r="E689" s="99" t="n"/>
      <c r="F689" s="100" t="n"/>
      <c r="G689" s="101" t="n"/>
      <c r="H689" s="99" t="n"/>
      <c r="I689" s="100" t="n"/>
      <c r="J689" s="99" t="n"/>
      <c r="K689" s="100" t="n"/>
      <c r="L689" s="99" t="n"/>
      <c r="M689" s="100" t="n"/>
    </row>
    <row r="690">
      <c r="A690" s="102" t="n"/>
      <c r="B690" s="100" t="n"/>
      <c r="C690" s="102" t="n"/>
      <c r="D690" s="100" t="n"/>
      <c r="E690" s="102" t="n"/>
      <c r="F690" s="100" t="n"/>
      <c r="G690" s="101" t="n"/>
      <c r="H690" s="102" t="n"/>
      <c r="I690" s="100" t="n"/>
      <c r="J690" s="102" t="n"/>
      <c r="K690" s="100" t="n"/>
      <c r="L690" s="102" t="n"/>
      <c r="M690" s="100" t="n"/>
    </row>
    <row r="691">
      <c r="A691" s="99" t="n"/>
      <c r="B691" s="100" t="n"/>
      <c r="C691" s="99" t="n"/>
      <c r="D691" s="100" t="n"/>
      <c r="E691" s="99" t="n"/>
      <c r="F691" s="100" t="n"/>
      <c r="G691" s="101" t="n"/>
      <c r="H691" s="99" t="n"/>
      <c r="I691" s="100" t="n"/>
      <c r="J691" s="99" t="n"/>
      <c r="K691" s="100" t="n"/>
      <c r="L691" s="99" t="n"/>
      <c r="M691" s="100" t="n"/>
    </row>
    <row r="692">
      <c r="A692" s="99" t="n"/>
      <c r="B692" s="100" t="n"/>
      <c r="C692" s="99" t="n"/>
      <c r="D692" s="100" t="n"/>
      <c r="E692" s="99" t="n"/>
      <c r="F692" s="100" t="n"/>
      <c r="G692" s="101" t="n"/>
      <c r="H692" s="99" t="n"/>
      <c r="I692" s="100" t="n"/>
      <c r="J692" s="99" t="n"/>
      <c r="K692" s="100" t="n"/>
      <c r="L692" s="99" t="n"/>
      <c r="M692" s="100" t="n"/>
    </row>
    <row r="693">
      <c r="A693" s="99" t="n"/>
      <c r="B693" s="100" t="n"/>
      <c r="C693" s="99" t="n"/>
      <c r="D693" s="100" t="n"/>
      <c r="E693" s="99" t="n"/>
      <c r="F693" s="100" t="n"/>
      <c r="G693" s="101" t="n"/>
      <c r="H693" s="99" t="n"/>
      <c r="I693" s="100" t="n"/>
      <c r="J693" s="99" t="n"/>
      <c r="K693" s="100" t="n"/>
      <c r="L693" s="99" t="n"/>
      <c r="M693" s="100" t="n"/>
    </row>
    <row r="694">
      <c r="A694" s="99" t="n"/>
      <c r="B694" s="100" t="n"/>
      <c r="C694" s="99" t="n"/>
      <c r="D694" s="100" t="n"/>
      <c r="E694" s="99" t="n"/>
      <c r="F694" s="100" t="n"/>
      <c r="G694" s="101" t="n"/>
      <c r="H694" s="99" t="n"/>
      <c r="I694" s="100" t="n"/>
      <c r="J694" s="99" t="n"/>
      <c r="K694" s="100" t="n"/>
      <c r="L694" s="99" t="n"/>
      <c r="M694" s="100" t="n"/>
    </row>
    <row r="695">
      <c r="A695" s="99" t="n"/>
      <c r="B695" s="100" t="n"/>
      <c r="C695" s="99" t="n"/>
      <c r="D695" s="100" t="n"/>
      <c r="E695" s="99" t="n"/>
      <c r="F695" s="100" t="n"/>
      <c r="G695" s="101" t="n"/>
      <c r="H695" s="99" t="n"/>
      <c r="I695" s="100" t="n"/>
      <c r="J695" s="99" t="n"/>
      <c r="K695" s="100" t="n"/>
      <c r="L695" s="99" t="n"/>
      <c r="M695" s="100" t="n"/>
    </row>
    <row r="696">
      <c r="A696" s="99" t="n"/>
      <c r="B696" s="100" t="n"/>
      <c r="C696" s="99" t="n"/>
      <c r="D696" s="100" t="n"/>
      <c r="E696" s="99" t="n"/>
      <c r="F696" s="100" t="n"/>
      <c r="G696" s="101" t="n"/>
      <c r="H696" s="99" t="n"/>
      <c r="I696" s="100" t="n"/>
      <c r="J696" s="99" t="n"/>
      <c r="K696" s="100" t="n"/>
      <c r="L696" s="99" t="n"/>
      <c r="M696" s="100" t="n"/>
    </row>
    <row r="697">
      <c r="A697" s="102" t="n"/>
      <c r="B697" s="100" t="n"/>
      <c r="C697" s="102" t="n"/>
      <c r="D697" s="100" t="n"/>
      <c r="E697" s="102" t="n"/>
      <c r="F697" s="100" t="n"/>
      <c r="G697" s="101" t="n"/>
      <c r="H697" s="102" t="n"/>
      <c r="I697" s="100" t="n"/>
      <c r="J697" s="102" t="n"/>
      <c r="K697" s="100" t="n"/>
      <c r="L697" s="102" t="n"/>
      <c r="M697" s="100" t="n"/>
    </row>
    <row r="698">
      <c r="A698" s="103" t="n"/>
      <c r="B698" s="103" t="n"/>
      <c r="C698" s="103" t="n"/>
      <c r="D698" s="103" t="n"/>
      <c r="E698" s="103" t="n"/>
      <c r="F698" s="103" t="n"/>
      <c r="G698" s="104" t="n"/>
      <c r="H698" s="103" t="n"/>
      <c r="I698" s="103" t="n"/>
      <c r="J698" s="103" t="n"/>
      <c r="K698" s="103" t="n"/>
      <c r="L698" s="103" t="n"/>
      <c r="M698" s="103" t="n"/>
    </row>
    <row r="699">
      <c r="A699" s="95" t="n"/>
      <c r="B699" s="97" t="n"/>
      <c r="C699" s="95" t="n"/>
      <c r="D699" s="97" t="n"/>
      <c r="E699" s="95" t="n"/>
      <c r="F699" s="97" t="n"/>
      <c r="G699" s="94" t="n"/>
      <c r="H699" s="95" t="n"/>
      <c r="I699" s="97" t="n"/>
      <c r="J699" s="95" t="n"/>
      <c r="K699" s="97" t="n"/>
      <c r="L699" s="95" t="n"/>
      <c r="M699" s="97" t="n"/>
    </row>
    <row r="700">
      <c r="A700" s="93" t="n"/>
      <c r="B700" s="93" t="n"/>
      <c r="C700" s="93" t="n"/>
      <c r="D700" s="93" t="n"/>
      <c r="E700" s="93" t="n"/>
      <c r="F700" s="93" t="n"/>
      <c r="G700" s="94" t="n"/>
      <c r="H700" s="93" t="n"/>
      <c r="I700" s="93" t="n"/>
      <c r="J700" s="93" t="n"/>
      <c r="K700" s="93" t="n"/>
      <c r="L700" s="93" t="n"/>
      <c r="M700" s="93" t="n"/>
    </row>
    <row r="701">
      <c r="A701" s="93" t="n"/>
      <c r="B701" s="93" t="n"/>
      <c r="C701" s="93" t="n"/>
      <c r="D701" s="93" t="n"/>
      <c r="E701" s="93" t="n"/>
      <c r="F701" s="93" t="n"/>
      <c r="G701" s="94" t="n"/>
      <c r="H701" s="93" t="n"/>
      <c r="I701" s="93" t="n"/>
      <c r="J701" s="93" t="n"/>
      <c r="K701" s="93" t="n"/>
      <c r="L701" s="93" t="n"/>
      <c r="M701" s="93" t="n"/>
    </row>
    <row r="702">
      <c r="A702" s="99" t="n"/>
      <c r="B702" s="100" t="n"/>
      <c r="C702" s="99" t="n"/>
      <c r="D702" s="100" t="n"/>
      <c r="E702" s="99" t="n"/>
      <c r="F702" s="100" t="n"/>
      <c r="G702" s="101" t="n"/>
      <c r="H702" s="99" t="n"/>
      <c r="I702" s="100" t="n"/>
      <c r="J702" s="99" t="n"/>
      <c r="K702" s="100" t="n"/>
      <c r="L702" s="99" t="n"/>
      <c r="M702" s="100" t="n"/>
    </row>
    <row r="703">
      <c r="A703" s="99" t="n"/>
      <c r="B703" s="100" t="n"/>
      <c r="C703" s="99" t="n"/>
      <c r="D703" s="100" t="n"/>
      <c r="E703" s="99" t="n"/>
      <c r="F703" s="100" t="n"/>
      <c r="G703" s="101" t="n"/>
      <c r="H703" s="99" t="n"/>
      <c r="I703" s="100" t="n"/>
      <c r="J703" s="99" t="n"/>
      <c r="K703" s="100" t="n"/>
      <c r="L703" s="99" t="n"/>
      <c r="M703" s="100" t="n"/>
    </row>
    <row r="704">
      <c r="A704" s="99" t="n"/>
      <c r="B704" s="100" t="n"/>
      <c r="C704" s="99" t="n"/>
      <c r="D704" s="100" t="n"/>
      <c r="E704" s="99" t="n"/>
      <c r="F704" s="100" t="n"/>
      <c r="G704" s="101" t="n"/>
      <c r="H704" s="99" t="n"/>
      <c r="I704" s="100" t="n"/>
      <c r="J704" s="99" t="n"/>
      <c r="K704" s="100" t="n"/>
      <c r="L704" s="99" t="n"/>
      <c r="M704" s="100" t="n"/>
    </row>
    <row r="705">
      <c r="A705" s="99" t="n"/>
      <c r="B705" s="100" t="n"/>
      <c r="C705" s="99" t="n"/>
      <c r="D705" s="100" t="n"/>
      <c r="E705" s="99" t="n"/>
      <c r="F705" s="100" t="n"/>
      <c r="G705" s="101" t="n"/>
      <c r="H705" s="99" t="n"/>
      <c r="I705" s="100" t="n"/>
      <c r="J705" s="99" t="n"/>
      <c r="K705" s="100" t="n"/>
      <c r="L705" s="99" t="n"/>
      <c r="M705" s="100" t="n"/>
    </row>
    <row r="706">
      <c r="A706" s="102" t="n"/>
      <c r="B706" s="100" t="n"/>
      <c r="C706" s="102" t="n"/>
      <c r="D706" s="100" t="n"/>
      <c r="E706" s="99" t="n"/>
      <c r="F706" s="100" t="n"/>
      <c r="G706" s="101" t="n"/>
      <c r="H706" s="102" t="n"/>
      <c r="I706" s="100" t="n"/>
      <c r="J706" s="102" t="n"/>
      <c r="K706" s="100" t="n"/>
      <c r="L706" s="99" t="n"/>
      <c r="M706" s="100" t="n"/>
    </row>
    <row r="707">
      <c r="A707" s="103" t="n"/>
      <c r="B707" s="103" t="n"/>
      <c r="C707" s="103" t="n"/>
      <c r="D707" s="103" t="n"/>
      <c r="E707" s="103" t="n"/>
      <c r="F707" s="103" t="n"/>
      <c r="G707" s="104" t="n"/>
      <c r="H707" s="103" t="n"/>
      <c r="I707" s="103" t="n"/>
      <c r="J707" s="103" t="n"/>
      <c r="K707" s="103" t="n"/>
      <c r="L707" s="103" t="n"/>
      <c r="M707" s="103" t="n"/>
    </row>
    <row r="708">
      <c r="A708" s="95" t="n"/>
      <c r="B708" s="97" t="n"/>
      <c r="C708" s="95" t="n"/>
      <c r="D708" s="97" t="n"/>
      <c r="E708" s="95" t="n"/>
      <c r="F708" s="97" t="n"/>
      <c r="G708" s="94" t="n"/>
      <c r="H708" s="95" t="n"/>
      <c r="I708" s="97" t="n"/>
      <c r="J708" s="95" t="n"/>
      <c r="K708" s="97" t="n"/>
      <c r="L708" s="95" t="n"/>
      <c r="M708" s="97" t="n"/>
    </row>
    <row r="709">
      <c r="A709" s="93" t="n"/>
      <c r="B709" s="93" t="n"/>
      <c r="C709" s="93" t="n"/>
      <c r="D709" s="93" t="n"/>
      <c r="E709" s="93" t="n"/>
      <c r="F709" s="93" t="n"/>
      <c r="G709" s="94" t="n"/>
      <c r="H709" s="93" t="n"/>
      <c r="I709" s="93" t="n"/>
      <c r="J709" s="93" t="n"/>
      <c r="K709" s="93" t="n"/>
      <c r="L709" s="93" t="n"/>
      <c r="M709" s="93" t="n"/>
    </row>
    <row r="710">
      <c r="A710" s="95" t="n"/>
      <c r="B710" s="97" t="n"/>
      <c r="C710" s="95" t="n"/>
      <c r="D710" s="97" t="n"/>
      <c r="E710" s="95" t="n"/>
      <c r="F710" s="97" t="n"/>
      <c r="G710" s="94" t="n"/>
      <c r="H710" s="95" t="n"/>
      <c r="I710" s="97" t="n"/>
      <c r="J710" s="95" t="n"/>
      <c r="K710" s="97" t="n"/>
      <c r="L710" s="95" t="n"/>
      <c r="M710" s="97" t="n"/>
    </row>
    <row r="711">
      <c r="A711" s="93" t="n"/>
      <c r="B711" s="93" t="n"/>
      <c r="C711" s="93" t="n"/>
      <c r="D711" s="93" t="n"/>
      <c r="E711" s="93" t="n"/>
      <c r="F711" s="93" t="n"/>
      <c r="G711" s="94" t="n"/>
      <c r="H711" s="93" t="n"/>
      <c r="I711" s="93" t="n"/>
      <c r="J711" s="93" t="n"/>
      <c r="K711" s="93" t="n"/>
      <c r="L711" s="93" t="n"/>
      <c r="M711" s="93" t="n"/>
    </row>
    <row r="712">
      <c r="A712" s="93" t="n"/>
      <c r="B712" s="93" t="n"/>
      <c r="C712" s="93" t="n"/>
      <c r="D712" s="93" t="n"/>
      <c r="E712" s="93" t="n"/>
      <c r="F712" s="93" t="n"/>
      <c r="G712" s="94" t="n"/>
      <c r="H712" s="93" t="n"/>
      <c r="I712" s="93" t="n"/>
      <c r="J712" s="93" t="n"/>
      <c r="K712" s="93" t="n"/>
      <c r="L712" s="93" t="n"/>
      <c r="M712" s="93" t="n"/>
    </row>
    <row r="713">
      <c r="A713" s="93" t="n"/>
      <c r="B713" s="93" t="n"/>
      <c r="C713" s="93" t="n"/>
      <c r="D713" s="93" t="n"/>
      <c r="E713" s="93" t="n"/>
      <c r="F713" s="93" t="n"/>
      <c r="G713" s="94" t="n"/>
      <c r="H713" s="93" t="n"/>
      <c r="I713" s="93" t="n"/>
      <c r="J713" s="93" t="n"/>
      <c r="K713" s="93" t="n"/>
      <c r="L713" s="93" t="n"/>
      <c r="M713" s="93" t="n"/>
    </row>
    <row r="714">
      <c r="A714" s="99" t="n"/>
      <c r="B714" s="100" t="n"/>
      <c r="C714" s="99" t="n"/>
      <c r="D714" s="100" t="n"/>
      <c r="E714" s="102" t="n"/>
      <c r="F714" s="100" t="n"/>
      <c r="G714" s="101" t="n"/>
      <c r="H714" s="99" t="n"/>
      <c r="I714" s="100" t="n"/>
      <c r="J714" s="99" t="n"/>
      <c r="K714" s="100" t="n"/>
      <c r="L714" s="102" t="n"/>
      <c r="M714" s="100" t="n"/>
    </row>
    <row r="715">
      <c r="A715" s="99" t="n"/>
      <c r="B715" s="100" t="n"/>
      <c r="C715" s="99" t="n"/>
      <c r="D715" s="100" t="n"/>
      <c r="E715" s="102" t="n"/>
      <c r="F715" s="100" t="n"/>
      <c r="G715" s="101" t="n"/>
      <c r="H715" s="99" t="n"/>
      <c r="I715" s="100" t="n"/>
      <c r="J715" s="99" t="n"/>
      <c r="K715" s="100" t="n"/>
      <c r="L715" s="102" t="n"/>
      <c r="M715" s="100" t="n"/>
    </row>
    <row r="716">
      <c r="A716" s="106" t="n"/>
      <c r="B716" s="106" t="n"/>
      <c r="C716" s="106" t="n"/>
      <c r="D716" s="106" t="n"/>
      <c r="E716" s="106" t="n"/>
      <c r="F716" s="106" t="n"/>
      <c r="G716" s="101" t="n"/>
      <c r="H716" s="106" t="n"/>
      <c r="I716" s="106" t="n"/>
      <c r="J716" s="106" t="n"/>
      <c r="K716" s="106" t="n"/>
      <c r="L716" s="106" t="n"/>
      <c r="M716" s="106" t="n"/>
    </row>
    <row r="717">
      <c r="A717" s="93" t="n"/>
      <c r="B717" s="93" t="n"/>
      <c r="C717" s="93" t="n"/>
      <c r="D717" s="93" t="n"/>
      <c r="E717" s="93" t="n"/>
      <c r="F717" s="93" t="n"/>
      <c r="G717" s="94" t="n"/>
      <c r="H717" s="93" t="n"/>
      <c r="I717" s="93" t="n"/>
      <c r="J717" s="93" t="n"/>
      <c r="K717" s="93" t="n"/>
      <c r="L717" s="93" t="n"/>
      <c r="M717" s="93" t="n"/>
    </row>
    <row r="718">
      <c r="A718" s="99" t="n"/>
      <c r="B718" s="100" t="n"/>
      <c r="C718" s="99" t="n"/>
      <c r="D718" s="100" t="n"/>
      <c r="E718" s="99" t="n"/>
      <c r="F718" s="100" t="n"/>
      <c r="G718" s="101" t="n"/>
      <c r="H718" s="99" t="n"/>
      <c r="I718" s="100" t="n"/>
      <c r="J718" s="99" t="n"/>
      <c r="K718" s="100" t="n"/>
      <c r="L718" s="99" t="n"/>
      <c r="M718" s="100" t="n"/>
    </row>
    <row r="719">
      <c r="A719" s="102" t="n"/>
      <c r="B719" s="100" t="n"/>
      <c r="C719" s="102" t="n"/>
      <c r="D719" s="100" t="n"/>
      <c r="E719" s="102" t="n"/>
      <c r="F719" s="100" t="n"/>
      <c r="G719" s="101" t="n"/>
      <c r="H719" s="102" t="n"/>
      <c r="I719" s="100" t="n"/>
      <c r="J719" s="102" t="n"/>
      <c r="K719" s="100" t="n"/>
      <c r="L719" s="102" t="n"/>
      <c r="M719" s="100" t="n"/>
    </row>
    <row r="720">
      <c r="A720" s="99" t="n"/>
      <c r="B720" s="100" t="n"/>
      <c r="C720" s="99" t="n"/>
      <c r="D720" s="100" t="n"/>
      <c r="E720" s="99" t="n"/>
      <c r="F720" s="100" t="n"/>
      <c r="G720" s="101" t="n"/>
      <c r="H720" s="99" t="n"/>
      <c r="I720" s="100" t="n"/>
      <c r="J720" s="99" t="n"/>
      <c r="K720" s="100" t="n"/>
      <c r="L720" s="99" t="n"/>
      <c r="M720" s="100" t="n"/>
    </row>
    <row r="721">
      <c r="A721" s="102" t="n"/>
      <c r="B721" s="100" t="n"/>
      <c r="C721" s="102" t="n"/>
      <c r="D721" s="100" t="n"/>
      <c r="E721" s="102" t="n"/>
      <c r="F721" s="100" t="n"/>
      <c r="G721" s="101" t="n"/>
      <c r="H721" s="102" t="n"/>
      <c r="I721" s="100" t="n"/>
      <c r="J721" s="102" t="n"/>
      <c r="K721" s="100" t="n"/>
      <c r="L721" s="102" t="n"/>
      <c r="M721" s="100" t="n"/>
    </row>
    <row r="722">
      <c r="A722" s="95" t="n"/>
      <c r="B722" s="97" t="n"/>
      <c r="C722" s="95" t="n"/>
      <c r="D722" s="97" t="n"/>
      <c r="E722" s="95" t="n"/>
      <c r="F722" s="97" t="n"/>
      <c r="G722" s="94" t="n"/>
      <c r="H722" s="95" t="n"/>
      <c r="I722" s="97" t="n"/>
      <c r="J722" s="95" t="n"/>
      <c r="K722" s="97" t="n"/>
      <c r="L722" s="95" t="n"/>
      <c r="M722" s="97" t="n"/>
    </row>
    <row r="723">
      <c r="A723" s="93" t="n"/>
      <c r="B723" s="93" t="n"/>
      <c r="C723" s="93" t="n"/>
      <c r="D723" s="93" t="n"/>
      <c r="E723" s="93" t="n"/>
      <c r="F723" s="93" t="n"/>
      <c r="G723" s="94" t="n"/>
      <c r="H723" s="93" t="n"/>
      <c r="I723" s="93" t="n"/>
      <c r="J723" s="93" t="n"/>
      <c r="K723" s="93" t="n"/>
      <c r="L723" s="93" t="n"/>
      <c r="M723" s="93" t="n"/>
    </row>
    <row r="724">
      <c r="A724" s="93" t="n"/>
      <c r="B724" s="93" t="n"/>
      <c r="C724" s="93" t="n"/>
      <c r="D724" s="93" t="n"/>
      <c r="E724" s="93" t="n"/>
      <c r="F724" s="93" t="n"/>
      <c r="G724" s="94" t="n"/>
      <c r="H724" s="93" t="n"/>
      <c r="I724" s="93" t="n"/>
      <c r="J724" s="93" t="n"/>
      <c r="K724" s="93" t="n"/>
      <c r="L724" s="93" t="n"/>
      <c r="M724" s="93" t="n"/>
    </row>
    <row r="725">
      <c r="A725" s="99" t="n"/>
      <c r="B725" s="100" t="n"/>
      <c r="C725" s="99" t="n"/>
      <c r="D725" s="100" t="n"/>
      <c r="E725" s="99" t="n"/>
      <c r="F725" s="100" t="n"/>
      <c r="G725" s="101" t="n"/>
      <c r="H725" s="99" t="n"/>
      <c r="I725" s="100" t="n"/>
      <c r="J725" s="99" t="n"/>
      <c r="K725" s="100" t="n"/>
      <c r="L725" s="99" t="n"/>
      <c r="M725" s="100" t="n"/>
    </row>
    <row r="726">
      <c r="A726" s="95" t="n"/>
      <c r="B726" s="97" t="n"/>
      <c r="C726" s="95" t="n"/>
      <c r="D726" s="97" t="n"/>
      <c r="E726" s="95" t="n"/>
      <c r="F726" s="97" t="n"/>
      <c r="G726" s="94" t="n"/>
      <c r="H726" s="95" t="n"/>
      <c r="I726" s="97" t="n"/>
      <c r="J726" s="95" t="n"/>
      <c r="K726" s="97" t="n"/>
      <c r="L726" s="95" t="n"/>
      <c r="M726" s="97" t="n"/>
    </row>
    <row r="727">
      <c r="A727" s="93" t="n"/>
      <c r="B727" s="93" t="n"/>
      <c r="C727" s="93" t="n"/>
      <c r="D727" s="93" t="n"/>
      <c r="E727" s="93" t="n"/>
      <c r="F727" s="93" t="n"/>
      <c r="G727" s="94" t="n"/>
      <c r="H727" s="93" t="n"/>
      <c r="I727" s="93" t="n"/>
      <c r="J727" s="93" t="n"/>
      <c r="K727" s="93" t="n"/>
      <c r="L727" s="93" t="n"/>
      <c r="M727" s="93" t="n"/>
    </row>
    <row r="728">
      <c r="A728" s="95" t="n"/>
      <c r="B728" s="97" t="n"/>
      <c r="C728" s="95" t="n"/>
      <c r="D728" s="97" t="n"/>
      <c r="E728" s="95" t="n"/>
      <c r="F728" s="97" t="n"/>
      <c r="G728" s="94" t="n"/>
      <c r="H728" s="95" t="n"/>
      <c r="I728" s="97" t="n"/>
      <c r="J728" s="95" t="n"/>
      <c r="K728" s="97" t="n"/>
      <c r="L728" s="95" t="n"/>
      <c r="M728" s="97" t="n"/>
    </row>
    <row r="729">
      <c r="A729" s="93" t="n"/>
      <c r="B729" s="93" t="n"/>
      <c r="C729" s="93" t="n"/>
      <c r="D729" s="93" t="n"/>
      <c r="E729" s="93" t="n"/>
      <c r="F729" s="93" t="n"/>
      <c r="G729" s="94" t="n"/>
      <c r="H729" s="93" t="n"/>
      <c r="I729" s="93" t="n"/>
      <c r="J729" s="93" t="n"/>
      <c r="K729" s="93" t="n"/>
      <c r="L729" s="93" t="n"/>
      <c r="M729" s="93" t="n"/>
    </row>
    <row r="730">
      <c r="A730" s="93" t="n"/>
      <c r="B730" s="93" t="n"/>
      <c r="C730" s="93" t="n"/>
      <c r="D730" s="93" t="n"/>
      <c r="E730" s="93" t="n"/>
      <c r="F730" s="93" t="n"/>
      <c r="G730" s="94" t="n"/>
      <c r="H730" s="93" t="n"/>
      <c r="I730" s="93" t="n"/>
      <c r="J730" s="93" t="n"/>
      <c r="K730" s="93" t="n"/>
      <c r="L730" s="93" t="n"/>
      <c r="M730" s="93" t="n"/>
    </row>
    <row r="731">
      <c r="A731" s="102" t="n"/>
      <c r="B731" s="100" t="n"/>
      <c r="C731" s="102" t="n"/>
      <c r="D731" s="100" t="n"/>
      <c r="E731" s="102" t="n"/>
      <c r="F731" s="100" t="n"/>
      <c r="G731" s="101" t="n"/>
      <c r="H731" s="102" t="n"/>
      <c r="I731" s="100" t="n"/>
      <c r="J731" s="102" t="n"/>
      <c r="K731" s="100" t="n"/>
      <c r="L731" s="102" t="n"/>
      <c r="M731" s="100" t="n"/>
    </row>
    <row r="732">
      <c r="A732" s="102" t="n"/>
      <c r="B732" s="100" t="n"/>
      <c r="C732" s="102" t="n"/>
      <c r="D732" s="100" t="n"/>
      <c r="E732" s="102" t="n"/>
      <c r="F732" s="100" t="n"/>
      <c r="G732" s="101" t="n"/>
      <c r="H732" s="102" t="n"/>
      <c r="I732" s="100" t="n"/>
      <c r="J732" s="102" t="n"/>
      <c r="K732" s="100" t="n"/>
      <c r="L732" s="102" t="n"/>
      <c r="M732" s="100" t="n"/>
    </row>
    <row r="733">
      <c r="A733" s="99" t="n"/>
      <c r="B733" s="100" t="n"/>
      <c r="C733" s="99" t="n"/>
      <c r="D733" s="100" t="n"/>
      <c r="E733" s="102" t="n"/>
      <c r="F733" s="100" t="n"/>
      <c r="G733" s="101" t="n"/>
      <c r="H733" s="99" t="n"/>
      <c r="I733" s="100" t="n"/>
      <c r="J733" s="99" t="n"/>
      <c r="K733" s="100" t="n"/>
      <c r="L733" s="102" t="n"/>
      <c r="M733" s="100" t="n"/>
    </row>
    <row r="734">
      <c r="A734" s="102" t="n"/>
      <c r="B734" s="100" t="n"/>
      <c r="C734" s="102" t="n"/>
      <c r="D734" s="100" t="n"/>
      <c r="E734" s="102" t="n"/>
      <c r="F734" s="100" t="n"/>
      <c r="G734" s="101" t="n"/>
      <c r="H734" s="102" t="n"/>
      <c r="I734" s="100" t="n"/>
      <c r="J734" s="102" t="n"/>
      <c r="K734" s="100" t="n"/>
      <c r="L734" s="102" t="n"/>
      <c r="M734" s="100" t="n"/>
    </row>
    <row r="735">
      <c r="A735" s="99" t="n"/>
      <c r="B735" s="100" t="n"/>
      <c r="C735" s="99" t="n"/>
      <c r="D735" s="100" t="n"/>
      <c r="E735" s="99" t="n"/>
      <c r="F735" s="100" t="n"/>
      <c r="G735" s="101" t="n"/>
      <c r="H735" s="99" t="n"/>
      <c r="I735" s="100" t="n"/>
      <c r="J735" s="99" t="n"/>
      <c r="K735" s="100" t="n"/>
      <c r="L735" s="99" t="n"/>
      <c r="M735" s="100" t="n"/>
    </row>
    <row r="736">
      <c r="A736" s="99" t="n"/>
      <c r="B736" s="100" t="n"/>
      <c r="C736" s="99" t="n"/>
      <c r="D736" s="100" t="n"/>
      <c r="E736" s="99" t="n"/>
      <c r="F736" s="100" t="n"/>
      <c r="G736" s="101" t="n"/>
      <c r="H736" s="99" t="n"/>
      <c r="I736" s="100" t="n"/>
      <c r="J736" s="99" t="n"/>
      <c r="K736" s="100" t="n"/>
      <c r="L736" s="99" t="n"/>
      <c r="M736" s="100" t="n"/>
    </row>
    <row r="737">
      <c r="A737" s="102" t="n"/>
      <c r="B737" s="100" t="n"/>
      <c r="C737" s="102" t="n"/>
      <c r="D737" s="100" t="n"/>
      <c r="E737" s="102" t="n"/>
      <c r="F737" s="100" t="n"/>
      <c r="G737" s="101" t="n"/>
      <c r="H737" s="102" t="n"/>
      <c r="I737" s="100" t="n"/>
      <c r="J737" s="102" t="n"/>
      <c r="K737" s="100" t="n"/>
      <c r="L737" s="102" t="n"/>
      <c r="M737" s="100" t="n"/>
    </row>
    <row r="738">
      <c r="A738" s="99" t="n"/>
      <c r="B738" s="100" t="n"/>
      <c r="C738" s="99" t="n"/>
      <c r="D738" s="100" t="n"/>
      <c r="E738" s="102" t="n"/>
      <c r="F738" s="100" t="n"/>
      <c r="G738" s="101" t="n"/>
      <c r="H738" s="99" t="n"/>
      <c r="I738" s="100" t="n"/>
      <c r="J738" s="99" t="n"/>
      <c r="K738" s="100" t="n"/>
      <c r="L738" s="102" t="n"/>
      <c r="M738" s="100" t="n"/>
    </row>
    <row r="739">
      <c r="A739" s="102" t="n"/>
      <c r="B739" s="100" t="n"/>
      <c r="C739" s="102" t="n"/>
      <c r="D739" s="100" t="n"/>
      <c r="E739" s="102" t="n"/>
      <c r="F739" s="100" t="n"/>
      <c r="G739" s="101" t="n"/>
      <c r="H739" s="102" t="n"/>
      <c r="I739" s="100" t="n"/>
      <c r="J739" s="102" t="n"/>
      <c r="K739" s="100" t="n"/>
      <c r="L739" s="102" t="n"/>
      <c r="M739" s="100" t="n"/>
    </row>
    <row r="740">
      <c r="A740" s="99" t="n"/>
      <c r="B740" s="100" t="n"/>
      <c r="C740" s="99" t="n"/>
      <c r="D740" s="100" t="n"/>
      <c r="E740" s="102" t="n"/>
      <c r="F740" s="100" t="n"/>
      <c r="G740" s="101" t="n"/>
      <c r="H740" s="99" t="n"/>
      <c r="I740" s="100" t="n"/>
      <c r="J740" s="99" t="n"/>
      <c r="K740" s="100" t="n"/>
      <c r="L740" s="102" t="n"/>
      <c r="M740" s="100" t="n"/>
    </row>
    <row r="741">
      <c r="A741" s="99" t="n"/>
      <c r="B741" s="100" t="n"/>
      <c r="C741" s="99" t="n"/>
      <c r="D741" s="100" t="n"/>
      <c r="E741" s="102" t="n"/>
      <c r="F741" s="100" t="n"/>
      <c r="G741" s="101" t="n"/>
      <c r="H741" s="99" t="n"/>
      <c r="I741" s="100" t="n"/>
      <c r="J741" s="99" t="n"/>
      <c r="K741" s="100" t="n"/>
      <c r="L741" s="102" t="n"/>
      <c r="M741" s="100" t="n"/>
    </row>
    <row r="742">
      <c r="A742" s="107" t="n"/>
      <c r="B742" s="107" t="n"/>
      <c r="C742" s="107" t="n"/>
      <c r="D742" s="107" t="n"/>
      <c r="E742" s="107" t="n"/>
      <c r="F742" s="90" t="n"/>
      <c r="G742" s="90" t="n"/>
      <c r="H742" s="90" t="n"/>
      <c r="I742" s="90" t="n"/>
      <c r="J742" s="90" t="n"/>
      <c r="K742" s="90" t="n"/>
      <c r="L742" s="90" t="n"/>
      <c r="M742" s="90" t="n"/>
    </row>
    <row r="743">
      <c r="A743" s="90" t="n"/>
      <c r="B743" s="90" t="n"/>
      <c r="C743" s="90" t="n"/>
      <c r="D743" s="90" t="n"/>
      <c r="E743" s="90" t="n"/>
      <c r="F743" s="91" t="n"/>
      <c r="G743" s="91" t="n"/>
      <c r="H743" s="91" t="n"/>
      <c r="I743" s="91" t="n"/>
      <c r="J743" s="90" t="n"/>
      <c r="K743" s="90" t="n"/>
      <c r="L743" s="90" t="n"/>
      <c r="M743" s="90" t="n"/>
    </row>
    <row r="744">
      <c r="A744" s="90" t="n"/>
      <c r="B744" s="90" t="n"/>
      <c r="C744" s="90" t="n"/>
      <c r="D744" s="90" t="n"/>
      <c r="E744" s="90" t="n"/>
      <c r="F744" s="91" t="n"/>
      <c r="G744" s="91" t="n"/>
      <c r="H744" s="91" t="n"/>
      <c r="I744" s="91" t="n"/>
      <c r="J744" s="90" t="n"/>
      <c r="K744" s="90" t="n"/>
      <c r="L744" s="90" t="n"/>
      <c r="M744" s="90" t="n"/>
    </row>
    <row r="745">
      <c r="A745" s="90" t="n"/>
      <c r="B745" s="90" t="n"/>
      <c r="C745" s="90" t="n"/>
      <c r="D745" s="90" t="n"/>
      <c r="E745" s="90" t="n"/>
      <c r="F745" s="91" t="n"/>
      <c r="G745" s="91" t="n"/>
      <c r="H745" s="91" t="n"/>
      <c r="I745" s="91" t="n"/>
      <c r="J745" s="90" t="n"/>
      <c r="K745" s="90" t="n"/>
      <c r="L745" s="90" t="n"/>
      <c r="M745" s="90" t="n"/>
    </row>
    <row r="746">
      <c r="A746" s="92" t="n"/>
      <c r="B746" s="92" t="n"/>
      <c r="C746" s="92" t="n"/>
      <c r="D746" s="92" t="n"/>
      <c r="E746" s="92" t="n"/>
      <c r="F746" s="92" t="n"/>
      <c r="H746" s="92" t="n"/>
      <c r="I746" s="92" t="n"/>
      <c r="J746" s="92" t="n"/>
      <c r="K746" s="92" t="n"/>
      <c r="L746" s="92" t="n"/>
      <c r="M746" s="92" t="n"/>
    </row>
    <row r="747">
      <c r="A747" s="103" t="n"/>
      <c r="B747" s="103" t="n"/>
      <c r="C747" s="103" t="n"/>
      <c r="D747" s="103" t="n"/>
      <c r="E747" s="103" t="n"/>
      <c r="F747" s="103" t="n"/>
      <c r="G747" s="104" t="n"/>
      <c r="H747" s="103" t="n"/>
      <c r="I747" s="103" t="n"/>
      <c r="J747" s="103" t="n"/>
      <c r="K747" s="103" t="n"/>
      <c r="L747" s="103" t="n"/>
      <c r="M747" s="103" t="n"/>
    </row>
    <row r="748">
      <c r="A748" s="95" t="n"/>
      <c r="B748" s="97" t="n"/>
      <c r="C748" s="95" t="n"/>
      <c r="D748" s="97" t="n"/>
      <c r="E748" s="95" t="n"/>
      <c r="F748" s="97" t="n"/>
      <c r="G748" s="94" t="n"/>
      <c r="H748" s="95" t="n"/>
      <c r="I748" s="97" t="n"/>
      <c r="J748" s="95" t="n"/>
      <c r="K748" s="97" t="n"/>
      <c r="L748" s="95" t="n"/>
      <c r="M748" s="97" t="n"/>
    </row>
    <row r="749">
      <c r="A749" s="93" t="n"/>
      <c r="B749" s="93" t="n"/>
      <c r="C749" s="93" t="n"/>
      <c r="D749" s="93" t="n"/>
      <c r="E749" s="93" t="n"/>
      <c r="F749" s="93" t="n"/>
      <c r="G749" s="94" t="n"/>
      <c r="H749" s="93" t="n"/>
      <c r="I749" s="93" t="n"/>
      <c r="J749" s="93" t="n"/>
      <c r="K749" s="93" t="n"/>
      <c r="L749" s="93" t="n"/>
      <c r="M749" s="93" t="n"/>
    </row>
    <row r="750">
      <c r="A750" s="95" t="n"/>
      <c r="B750" s="97" t="n"/>
      <c r="C750" s="95" t="n"/>
      <c r="D750" s="97" t="n"/>
      <c r="E750" s="95" t="n"/>
      <c r="F750" s="97" t="n"/>
      <c r="G750" s="94" t="n"/>
      <c r="H750" s="95" t="n"/>
      <c r="I750" s="97" t="n"/>
      <c r="J750" s="95" t="n"/>
      <c r="K750" s="97" t="n"/>
      <c r="L750" s="95" t="n"/>
      <c r="M750" s="97" t="n"/>
    </row>
    <row r="751">
      <c r="A751" s="93" t="n"/>
      <c r="B751" s="93" t="n"/>
      <c r="C751" s="93" t="n"/>
      <c r="D751" s="93" t="n"/>
      <c r="E751" s="93" t="n"/>
      <c r="F751" s="93" t="n"/>
      <c r="G751" s="94" t="n"/>
      <c r="H751" s="93" t="n"/>
      <c r="I751" s="93" t="n"/>
      <c r="J751" s="93" t="n"/>
      <c r="K751" s="93" t="n"/>
      <c r="L751" s="93" t="n"/>
      <c r="M751" s="93" t="n"/>
    </row>
    <row r="752" ht="15" customHeight="1" s="54" thickBot="1">
      <c r="A752" s="95" t="n"/>
      <c r="B752" s="97" t="n"/>
      <c r="C752" s="95" t="n"/>
      <c r="D752" s="97" t="n"/>
      <c r="E752" s="95" t="n"/>
      <c r="F752" s="97" t="n"/>
      <c r="G752" s="94" t="n"/>
      <c r="H752" s="95" t="n"/>
      <c r="I752" s="97" t="n"/>
      <c r="J752" s="95" t="n"/>
      <c r="K752" s="97" t="n"/>
      <c r="L752" s="95" t="n"/>
      <c r="M752" s="97" t="n"/>
    </row>
    <row r="753" ht="15" customHeight="1" s="54" thickTop="1">
      <c r="A753" s="108" t="n"/>
      <c r="B753" s="108" t="n"/>
      <c r="C753" s="108" t="n"/>
      <c r="D753" s="108" t="n"/>
      <c r="E753" s="108" t="n"/>
      <c r="F753" s="108" t="n"/>
      <c r="G753" s="109" t="n"/>
      <c r="H753" s="108" t="n"/>
      <c r="I753" s="108" t="n"/>
      <c r="J753" s="108" t="n"/>
      <c r="K753" s="108" t="n"/>
      <c r="L753" s="108" t="n"/>
      <c r="M753" s="108" t="n"/>
    </row>
    <row r="754">
      <c r="A754" s="107" t="n"/>
      <c r="B754" s="107" t="n"/>
      <c r="C754" s="107" t="n"/>
      <c r="D754" s="107" t="n"/>
      <c r="E754" s="107" t="n"/>
      <c r="F754" s="90" t="n"/>
      <c r="G754" s="90" t="n"/>
      <c r="H754" s="90" t="n"/>
      <c r="I754" s="90" t="n"/>
      <c r="J754" s="90" t="n"/>
      <c r="K754" s="90" t="n"/>
      <c r="L754" s="90" t="n"/>
      <c r="M754" s="90" t="n"/>
    </row>
    <row r="755">
      <c r="A755" s="90" t="n"/>
      <c r="B755" s="90" t="n"/>
      <c r="C755" s="90" t="n"/>
      <c r="D755" s="90" t="n"/>
      <c r="E755" s="90" t="n"/>
      <c r="F755" s="91" t="n"/>
      <c r="G755" s="91" t="n"/>
      <c r="H755" s="91" t="n"/>
      <c r="I755" s="91" t="n"/>
      <c r="J755" s="90" t="n"/>
      <c r="K755" s="90" t="n"/>
      <c r="L755" s="90" t="n"/>
      <c r="M755" s="90" t="n"/>
    </row>
    <row r="756">
      <c r="A756" s="90" t="n"/>
      <c r="B756" s="90" t="n"/>
      <c r="C756" s="90" t="n"/>
      <c r="D756" s="90" t="n"/>
      <c r="E756" s="90" t="n"/>
      <c r="F756" s="91" t="n"/>
      <c r="G756" s="91" t="n"/>
      <c r="H756" s="91" t="n"/>
      <c r="I756" s="91" t="n"/>
      <c r="J756" s="90" t="n"/>
      <c r="K756" s="90" t="n"/>
      <c r="L756" s="90" t="n"/>
      <c r="M756" s="90" t="n"/>
    </row>
    <row r="757">
      <c r="A757" s="90" t="n"/>
      <c r="B757" s="90" t="n"/>
      <c r="C757" s="90" t="n"/>
      <c r="D757" s="90" t="n"/>
      <c r="E757" s="90" t="n"/>
      <c r="F757" s="91" t="n"/>
      <c r="G757" s="91" t="n"/>
      <c r="H757" s="91" t="n"/>
      <c r="I757" s="91" t="n"/>
      <c r="J757" s="90" t="n"/>
      <c r="K757" s="90" t="n"/>
      <c r="L757" s="90" t="n"/>
      <c r="M757" s="90" t="n"/>
    </row>
    <row r="758">
      <c r="A758" s="92" t="n"/>
      <c r="B758" s="92" t="n"/>
      <c r="C758" s="92" t="n"/>
      <c r="D758" s="92" t="n"/>
      <c r="E758" s="92" t="n"/>
      <c r="F758" s="92" t="n"/>
      <c r="H758" s="92" t="n"/>
      <c r="I758" s="92" t="n"/>
      <c r="J758" s="92" t="n"/>
      <c r="K758" s="92" t="n"/>
      <c r="L758" s="92" t="n"/>
      <c r="M758" s="92" t="n"/>
    </row>
    <row r="759">
      <c r="A759" s="93" t="n"/>
      <c r="B759" s="93" t="n"/>
      <c r="C759" s="93" t="n"/>
      <c r="D759" s="93" t="n"/>
      <c r="E759" s="93" t="n"/>
      <c r="F759" s="93" t="n"/>
      <c r="G759" s="94" t="n"/>
      <c r="H759" s="93" t="n"/>
      <c r="I759" s="93" t="n"/>
      <c r="J759" s="93" t="n"/>
      <c r="K759" s="93" t="n"/>
      <c r="L759" s="93" t="n"/>
      <c r="M759" s="93" t="n"/>
    </row>
    <row r="760">
      <c r="A760" s="93" t="n"/>
      <c r="B760" s="93" t="n"/>
      <c r="C760" s="93" t="n"/>
      <c r="D760" s="93" t="n"/>
      <c r="E760" s="93" t="n"/>
      <c r="F760" s="93" t="n"/>
      <c r="G760" s="94" t="n"/>
      <c r="H760" s="93" t="n"/>
      <c r="I760" s="93" t="n"/>
      <c r="J760" s="93" t="n"/>
      <c r="K760" s="93" t="n"/>
      <c r="L760" s="93" t="n"/>
      <c r="M760" s="93" t="n"/>
    </row>
    <row r="761">
      <c r="A761" s="113" t="n"/>
      <c r="B761" s="106" t="n"/>
      <c r="C761" s="113" t="n"/>
      <c r="D761" s="106" t="n"/>
      <c r="E761" s="113" t="n"/>
      <c r="F761" s="106" t="n"/>
      <c r="G761" s="101" t="n"/>
      <c r="H761" s="113" t="n"/>
      <c r="I761" s="106" t="n"/>
      <c r="J761" s="113" t="n"/>
      <c r="K761" s="106" t="n"/>
      <c r="L761" s="113" t="n"/>
      <c r="M761" s="106" t="n"/>
    </row>
    <row r="762">
      <c r="A762" s="113" t="n"/>
      <c r="B762" s="106" t="n"/>
      <c r="C762" s="113" t="n"/>
      <c r="D762" s="106" t="n"/>
      <c r="E762" s="113" t="n"/>
      <c r="F762" s="106" t="n"/>
      <c r="G762" s="101" t="n"/>
      <c r="H762" s="113" t="n"/>
      <c r="I762" s="106" t="n"/>
      <c r="J762" s="113" t="n"/>
      <c r="K762" s="106" t="n"/>
      <c r="L762" s="113" t="n"/>
      <c r="M762" s="106" t="n"/>
    </row>
    <row r="763">
      <c r="A763" s="113" t="n"/>
      <c r="B763" s="106" t="n"/>
      <c r="C763" s="113" t="n"/>
      <c r="D763" s="106" t="n"/>
      <c r="E763" s="113" t="n"/>
      <c r="F763" s="106" t="n"/>
      <c r="G763" s="101" t="n"/>
      <c r="H763" s="113" t="n"/>
      <c r="I763" s="106" t="n"/>
      <c r="J763" s="113" t="n"/>
      <c r="K763" s="106" t="n"/>
      <c r="L763" s="113" t="n"/>
      <c r="M763" s="106" t="n"/>
    </row>
    <row r="764">
      <c r="A764" s="113" t="n"/>
      <c r="B764" s="106" t="n"/>
      <c r="C764" s="113" t="n"/>
      <c r="D764" s="106" t="n"/>
      <c r="E764" s="113" t="n"/>
      <c r="F764" s="106" t="n"/>
      <c r="G764" s="101" t="n"/>
      <c r="H764" s="113" t="n"/>
      <c r="I764" s="106" t="n"/>
      <c r="J764" s="113" t="n"/>
      <c r="K764" s="106" t="n"/>
      <c r="L764" s="113" t="n"/>
      <c r="M764" s="106" t="n"/>
    </row>
    <row r="765">
      <c r="A765" s="113" t="n"/>
      <c r="B765" s="106" t="n"/>
      <c r="C765" s="113" t="n"/>
      <c r="D765" s="106" t="n"/>
      <c r="E765" s="113" t="n"/>
      <c r="F765" s="106" t="n"/>
      <c r="G765" s="101" t="n"/>
      <c r="H765" s="113" t="n"/>
      <c r="I765" s="106" t="n"/>
      <c r="J765" s="113" t="n"/>
      <c r="K765" s="106" t="n"/>
      <c r="L765" s="113" t="n"/>
      <c r="M765" s="106" t="n"/>
    </row>
    <row r="766">
      <c r="A766" s="113" t="n"/>
      <c r="B766" s="106" t="n"/>
      <c r="C766" s="113" t="n"/>
      <c r="D766" s="106" t="n"/>
      <c r="E766" s="113" t="n"/>
      <c r="F766" s="106" t="n"/>
      <c r="G766" s="101" t="n"/>
      <c r="H766" s="113" t="n"/>
      <c r="I766" s="106" t="n"/>
      <c r="J766" s="113" t="n"/>
      <c r="K766" s="106" t="n"/>
      <c r="L766" s="113" t="n"/>
      <c r="M766" s="106" t="n"/>
    </row>
    <row r="767">
      <c r="A767" s="113" t="n"/>
      <c r="B767" s="106" t="n"/>
      <c r="C767" s="113" t="n"/>
      <c r="D767" s="106" t="n"/>
      <c r="E767" s="113" t="n"/>
      <c r="F767" s="106" t="n"/>
      <c r="G767" s="101" t="n"/>
      <c r="H767" s="113" t="n"/>
      <c r="I767" s="106" t="n"/>
      <c r="J767" s="113" t="n"/>
      <c r="K767" s="106" t="n"/>
      <c r="L767" s="113" t="n"/>
      <c r="M767" s="106" t="n"/>
    </row>
    <row r="768">
      <c r="A768" s="113" t="n"/>
      <c r="B768" s="106" t="n"/>
      <c r="C768" s="113" t="n"/>
      <c r="D768" s="106" t="n"/>
      <c r="E768" s="113" t="n"/>
      <c r="F768" s="106" t="n"/>
      <c r="G768" s="101" t="n"/>
      <c r="H768" s="113" t="n"/>
      <c r="I768" s="106" t="n"/>
      <c r="J768" s="113" t="n"/>
      <c r="K768" s="106" t="n"/>
      <c r="L768" s="113" t="n"/>
      <c r="M768" s="106" t="n"/>
    </row>
    <row r="769">
      <c r="A769" s="113" t="n"/>
      <c r="B769" s="106" t="n"/>
      <c r="C769" s="113" t="n"/>
      <c r="D769" s="106" t="n"/>
      <c r="E769" s="113" t="n"/>
      <c r="F769" s="106" t="n"/>
      <c r="G769" s="101" t="n"/>
      <c r="H769" s="113" t="n"/>
      <c r="I769" s="106" t="n"/>
      <c r="J769" s="113" t="n"/>
      <c r="K769" s="106" t="n"/>
      <c r="L769" s="113" t="n"/>
      <c r="M769" s="106" t="n"/>
    </row>
    <row r="770">
      <c r="A770" s="102" t="n"/>
      <c r="B770" s="106" t="n"/>
      <c r="C770" s="102" t="n"/>
      <c r="D770" s="106" t="n"/>
      <c r="E770" s="102" t="n"/>
      <c r="F770" s="106" t="n"/>
      <c r="G770" s="101" t="n"/>
      <c r="H770" s="102" t="n"/>
      <c r="I770" s="106" t="n"/>
      <c r="J770" s="102" t="n"/>
      <c r="K770" s="106" t="n"/>
      <c r="L770" s="102" t="n"/>
      <c r="M770" s="106" t="n"/>
    </row>
    <row r="771">
      <c r="A771" s="107" t="n"/>
      <c r="B771" s="107" t="n"/>
      <c r="C771" s="107" t="n"/>
      <c r="D771" s="107" t="n"/>
      <c r="E771" s="107" t="n"/>
      <c r="F771" s="90" t="n"/>
      <c r="G771" s="90" t="n"/>
      <c r="H771" s="90" t="n"/>
      <c r="I771" s="90" t="n"/>
      <c r="J771" s="90" t="n"/>
      <c r="K771" s="90" t="n"/>
      <c r="L771" s="90" t="n"/>
      <c r="M771" s="90" t="n"/>
    </row>
    <row r="772">
      <c r="A772" s="90" t="n"/>
      <c r="B772" s="90" t="n"/>
      <c r="C772" s="90" t="n"/>
      <c r="D772" s="90" t="n"/>
      <c r="E772" s="90" t="n"/>
      <c r="F772" s="91" t="n"/>
      <c r="G772" s="91" t="n"/>
      <c r="H772" s="91" t="n"/>
      <c r="I772" s="91" t="n"/>
      <c r="J772" s="90" t="n"/>
      <c r="K772" s="90" t="n"/>
      <c r="L772" s="90" t="n"/>
      <c r="M772" s="90" t="n"/>
    </row>
    <row r="773">
      <c r="A773" s="90" t="n"/>
      <c r="B773" s="90" t="n"/>
      <c r="C773" s="90" t="n"/>
      <c r="D773" s="90" t="n"/>
      <c r="E773" s="90" t="n"/>
      <c r="F773" s="91" t="n"/>
      <c r="G773" s="91" t="n"/>
      <c r="H773" s="91" t="n"/>
      <c r="I773" s="91" t="n"/>
      <c r="J773" s="90" t="n"/>
      <c r="K773" s="90" t="n"/>
      <c r="L773" s="90" t="n"/>
      <c r="M773" s="90" t="n"/>
    </row>
    <row r="774">
      <c r="A774" s="90" t="n"/>
      <c r="B774" s="90" t="n"/>
      <c r="C774" s="90" t="n"/>
      <c r="D774" s="90" t="n"/>
      <c r="E774" s="90" t="n"/>
      <c r="F774" s="91" t="n"/>
      <c r="G774" s="91" t="n"/>
      <c r="H774" s="91" t="n"/>
      <c r="I774" s="91" t="n"/>
      <c r="J774" s="90" t="n"/>
      <c r="K774" s="90" t="n"/>
      <c r="L774" s="90" t="n"/>
      <c r="M774" s="90" t="n"/>
    </row>
    <row r="775">
      <c r="A775" s="92" t="n"/>
      <c r="B775" s="92" t="n"/>
      <c r="C775" s="92" t="n"/>
      <c r="D775" s="92" t="n"/>
      <c r="E775" s="92" t="n"/>
      <c r="F775" s="92" t="n"/>
      <c r="H775" s="92" t="n"/>
      <c r="I775" s="92" t="n"/>
      <c r="J775" s="92" t="n"/>
      <c r="K775" s="92" t="n"/>
      <c r="L775" s="92" t="n"/>
      <c r="M775" s="92" t="n"/>
    </row>
    <row r="776">
      <c r="A776" s="93" t="n"/>
      <c r="B776" s="93" t="n"/>
      <c r="C776" s="93" t="n"/>
      <c r="D776" s="93" t="n"/>
      <c r="E776" s="93" t="n"/>
      <c r="F776" s="93" t="n"/>
      <c r="G776" s="94" t="n"/>
      <c r="H776" s="93" t="n"/>
      <c r="I776" s="93" t="n"/>
      <c r="J776" s="93" t="n"/>
      <c r="K776" s="93" t="n"/>
      <c r="L776" s="93" t="n"/>
      <c r="M776" s="93" t="n"/>
    </row>
    <row r="777">
      <c r="A777" s="93" t="n"/>
      <c r="B777" s="93" t="n"/>
      <c r="C777" s="93" t="n"/>
      <c r="D777" s="93" t="n"/>
      <c r="E777" s="93" t="n"/>
      <c r="F777" s="93" t="n"/>
      <c r="G777" s="94" t="n"/>
      <c r="H777" s="93" t="n"/>
      <c r="I777" s="93" t="n"/>
      <c r="J777" s="93" t="n"/>
      <c r="K777" s="93" t="n"/>
      <c r="L777" s="93" t="n"/>
      <c r="M777" s="93" t="n"/>
    </row>
    <row r="778">
      <c r="A778" s="93" t="n"/>
      <c r="B778" s="93" t="n"/>
      <c r="C778" s="93" t="n"/>
      <c r="D778" s="93" t="n"/>
      <c r="E778" s="93" t="n"/>
      <c r="F778" s="93" t="n"/>
      <c r="G778" s="94" t="n"/>
      <c r="H778" s="93" t="n"/>
      <c r="I778" s="93" t="n"/>
      <c r="J778" s="93" t="n"/>
      <c r="K778" s="93" t="n"/>
      <c r="L778" s="93" t="n"/>
      <c r="M778" s="93" t="n"/>
    </row>
    <row r="779">
      <c r="A779" s="111" t="n"/>
      <c r="B779" s="111" t="n"/>
      <c r="C779" s="111" t="n"/>
      <c r="D779" s="111" t="n"/>
      <c r="E779" s="111" t="n"/>
      <c r="F779" s="111" t="n"/>
      <c r="G779" s="112" t="n"/>
      <c r="H779" s="111" t="n"/>
      <c r="I779" s="111" t="n"/>
      <c r="J779" s="111" t="n"/>
      <c r="K779" s="111" t="n"/>
      <c r="L779" s="111" t="n"/>
      <c r="M779" s="111" t="n"/>
    </row>
    <row r="780">
      <c r="A780" s="96" t="n"/>
      <c r="B780" s="97" t="n"/>
      <c r="C780" s="96" t="n"/>
      <c r="D780" s="97" t="n"/>
      <c r="E780" s="96" t="n"/>
      <c r="F780" s="97" t="n"/>
      <c r="G780" s="94" t="n"/>
      <c r="H780" s="96" t="n"/>
      <c r="I780" s="97" t="n"/>
      <c r="J780" s="96" t="n"/>
      <c r="K780" s="97" t="n"/>
      <c r="L780" s="96" t="n"/>
      <c r="M780" s="97" t="n"/>
    </row>
    <row r="781">
      <c r="A781" s="93" t="n"/>
      <c r="B781" s="93" t="n"/>
      <c r="C781" s="93" t="n"/>
      <c r="D781" s="93" t="n"/>
      <c r="E781" s="93" t="n"/>
      <c r="F781" s="93" t="n"/>
      <c r="G781" s="94" t="n"/>
      <c r="H781" s="93" t="n"/>
      <c r="I781" s="93" t="n"/>
      <c r="J781" s="93" t="n"/>
      <c r="K781" s="93" t="n"/>
      <c r="L781" s="93" t="n"/>
      <c r="M781" s="93" t="n"/>
    </row>
    <row r="782">
      <c r="A782" s="93" t="n"/>
      <c r="B782" s="93" t="n"/>
      <c r="C782" s="93" t="n"/>
      <c r="D782" s="93" t="n"/>
      <c r="E782" s="93" t="n"/>
      <c r="F782" s="93" t="n"/>
      <c r="G782" s="94" t="n"/>
      <c r="H782" s="93" t="n"/>
      <c r="I782" s="93" t="n"/>
      <c r="J782" s="93" t="n"/>
      <c r="K782" s="93" t="n"/>
      <c r="L782" s="93" t="n"/>
      <c r="M782" s="93" t="n"/>
    </row>
    <row r="783">
      <c r="A783" s="111" t="n"/>
      <c r="B783" s="111" t="n"/>
      <c r="C783" s="111" t="n"/>
      <c r="D783" s="111" t="n"/>
      <c r="E783" s="111" t="n"/>
      <c r="F783" s="111" t="n"/>
      <c r="G783" s="112" t="n"/>
      <c r="H783" s="111" t="n"/>
      <c r="I783" s="111" t="n"/>
      <c r="J783" s="111" t="n"/>
      <c r="K783" s="111" t="n"/>
      <c r="L783" s="111" t="n"/>
      <c r="M783" s="111" t="n"/>
    </row>
    <row r="784">
      <c r="A784" s="96" t="n"/>
      <c r="B784" s="97" t="n"/>
      <c r="C784" s="96" t="n"/>
      <c r="D784" s="97" t="n"/>
      <c r="E784" s="96" t="n"/>
      <c r="F784" s="97" t="n"/>
      <c r="G784" s="94" t="n"/>
      <c r="H784" s="96" t="n"/>
      <c r="I784" s="97" t="n"/>
      <c r="J784" s="96" t="n"/>
      <c r="K784" s="97" t="n"/>
      <c r="L784" s="96" t="n"/>
      <c r="M784" s="97" t="n"/>
    </row>
    <row r="785">
      <c r="A785" s="93" t="n"/>
      <c r="B785" s="93" t="n"/>
      <c r="C785" s="93" t="n"/>
      <c r="D785" s="93" t="n"/>
      <c r="E785" s="93" t="n"/>
      <c r="F785" s="93" t="n"/>
      <c r="G785" s="94" t="n"/>
      <c r="H785" s="93" t="n"/>
      <c r="I785" s="93" t="n"/>
      <c r="J785" s="93" t="n"/>
      <c r="K785" s="93" t="n"/>
      <c r="L785" s="93" t="n"/>
      <c r="M785" s="93" t="n"/>
    </row>
    <row r="786">
      <c r="A786" s="96" t="n"/>
      <c r="B786" s="97" t="n"/>
      <c r="C786" s="96" t="n"/>
      <c r="D786" s="97" t="n"/>
      <c r="E786" s="96" t="n"/>
      <c r="F786" s="97" t="n"/>
      <c r="G786" s="94" t="n"/>
      <c r="H786" s="96" t="n"/>
      <c r="I786" s="97" t="n"/>
      <c r="J786" s="96" t="n"/>
      <c r="K786" s="97" t="n"/>
      <c r="L786" s="96" t="n"/>
      <c r="M786" s="97" t="n"/>
    </row>
    <row r="787">
      <c r="A787" s="93" t="n"/>
      <c r="B787" s="93" t="n"/>
      <c r="C787" s="93" t="n"/>
      <c r="D787" s="93" t="n"/>
      <c r="E787" s="93" t="n"/>
      <c r="F787" s="93" t="n"/>
      <c r="G787" s="94" t="n"/>
      <c r="H787" s="93" t="n"/>
      <c r="I787" s="93" t="n"/>
      <c r="J787" s="93" t="n"/>
      <c r="K787" s="93" t="n"/>
      <c r="L787" s="93" t="n"/>
      <c r="M787" s="93" t="n"/>
    </row>
    <row r="788">
      <c r="A788" s="93" t="n"/>
      <c r="B788" s="93" t="n"/>
      <c r="C788" s="93" t="n"/>
      <c r="D788" s="93" t="n"/>
      <c r="E788" s="93" t="n"/>
      <c r="F788" s="93" t="n"/>
      <c r="G788" s="94" t="n"/>
      <c r="H788" s="93" t="n"/>
      <c r="I788" s="93" t="n"/>
      <c r="J788" s="93" t="n"/>
      <c r="K788" s="93" t="n"/>
      <c r="L788" s="93" t="n"/>
      <c r="M788" s="93" t="n"/>
    </row>
    <row r="789">
      <c r="A789" s="93" t="n"/>
      <c r="B789" s="93" t="n"/>
      <c r="C789" s="93" t="n"/>
      <c r="D789" s="93" t="n"/>
      <c r="E789" s="93" t="n"/>
      <c r="F789" s="93" t="n"/>
      <c r="G789" s="94" t="n"/>
      <c r="H789" s="93" t="n"/>
      <c r="I789" s="93" t="n"/>
      <c r="J789" s="93" t="n"/>
      <c r="K789" s="93" t="n"/>
      <c r="L789" s="93" t="n"/>
      <c r="M789" s="93" t="n"/>
    </row>
    <row r="790">
      <c r="A790" s="93" t="n"/>
      <c r="B790" s="93" t="n"/>
      <c r="C790" s="93" t="n"/>
      <c r="D790" s="93" t="n"/>
      <c r="E790" s="93" t="n"/>
      <c r="F790" s="93" t="n"/>
      <c r="G790" s="94" t="n"/>
      <c r="H790" s="93" t="n"/>
      <c r="I790" s="93" t="n"/>
      <c r="J790" s="93" t="n"/>
      <c r="K790" s="93" t="n"/>
      <c r="L790" s="93" t="n"/>
      <c r="M790" s="93" t="n"/>
    </row>
    <row r="791">
      <c r="A791" s="93" t="n"/>
      <c r="B791" s="93" t="n"/>
      <c r="C791" s="93" t="n"/>
      <c r="D791" s="93" t="n"/>
      <c r="E791" s="93" t="n"/>
      <c r="F791" s="93" t="n"/>
      <c r="G791" s="94" t="n"/>
      <c r="H791" s="93" t="n"/>
      <c r="I791" s="93" t="n"/>
      <c r="J791" s="93" t="n"/>
      <c r="K791" s="93" t="n"/>
      <c r="L791" s="93" t="n"/>
      <c r="M791" s="93" t="n"/>
    </row>
    <row r="792">
      <c r="A792" s="96" t="n"/>
      <c r="B792" s="97" t="n"/>
      <c r="C792" s="96" t="n"/>
      <c r="D792" s="97" t="n"/>
      <c r="E792" s="96" t="n"/>
      <c r="F792" s="97" t="n"/>
      <c r="G792" s="94" t="n"/>
      <c r="H792" s="96" t="n"/>
      <c r="I792" s="97" t="n"/>
      <c r="J792" s="96" t="n"/>
      <c r="K792" s="97" t="n"/>
      <c r="L792" s="96" t="n"/>
      <c r="M792" s="97" t="n"/>
    </row>
    <row r="793">
      <c r="A793" s="93" t="n"/>
      <c r="B793" s="93" t="n"/>
      <c r="C793" s="93" t="n"/>
      <c r="D793" s="93" t="n"/>
      <c r="E793" s="93" t="n"/>
      <c r="F793" s="93" t="n"/>
      <c r="G793" s="94" t="n"/>
      <c r="H793" s="93" t="n"/>
      <c r="I793" s="93" t="n"/>
      <c r="J793" s="93" t="n"/>
      <c r="K793" s="93" t="n"/>
      <c r="L793" s="93" t="n"/>
      <c r="M793" s="93" t="n"/>
    </row>
    <row r="794">
      <c r="A794" s="93" t="n"/>
      <c r="B794" s="93" t="n"/>
      <c r="C794" s="93" t="n"/>
      <c r="D794" s="93" t="n"/>
      <c r="E794" s="93" t="n"/>
      <c r="F794" s="93" t="n"/>
      <c r="G794" s="94" t="n"/>
      <c r="H794" s="93" t="n"/>
      <c r="I794" s="93" t="n"/>
      <c r="J794" s="93" t="n"/>
      <c r="K794" s="93" t="n"/>
      <c r="L794" s="93" t="n"/>
      <c r="M794" s="93" t="n"/>
    </row>
    <row r="795">
      <c r="A795" s="96" t="n"/>
      <c r="B795" s="97" t="n"/>
      <c r="C795" s="96" t="n"/>
      <c r="D795" s="97" t="n"/>
      <c r="E795" s="96" t="n"/>
      <c r="F795" s="97" t="n"/>
      <c r="G795" s="94" t="n"/>
      <c r="H795" s="96" t="n"/>
      <c r="I795" s="97" t="n"/>
      <c r="J795" s="96" t="n"/>
      <c r="K795" s="97" t="n"/>
      <c r="L795" s="96" t="n"/>
      <c r="M795" s="97" t="n"/>
    </row>
    <row r="796">
      <c r="A796" s="93" t="n"/>
      <c r="B796" s="93" t="n"/>
      <c r="C796" s="93" t="n"/>
      <c r="D796" s="93" t="n"/>
      <c r="E796" s="93" t="n"/>
      <c r="F796" s="93" t="n"/>
      <c r="G796" s="94" t="n"/>
      <c r="H796" s="93" t="n"/>
      <c r="I796" s="93" t="n"/>
      <c r="J796" s="93" t="n"/>
      <c r="K796" s="93" t="n"/>
      <c r="L796" s="93" t="n"/>
      <c r="M796" s="93" t="n"/>
    </row>
    <row r="797">
      <c r="A797" s="96" t="n"/>
      <c r="B797" s="97" t="n"/>
      <c r="C797" s="96" t="n"/>
      <c r="D797" s="97" t="n"/>
      <c r="E797" s="96" t="n"/>
      <c r="F797" s="97" t="n"/>
      <c r="G797" s="94" t="n"/>
      <c r="H797" s="96" t="n"/>
      <c r="I797" s="97" t="n"/>
      <c r="J797" s="96" t="n"/>
      <c r="K797" s="97" t="n"/>
      <c r="L797" s="96" t="n"/>
      <c r="M797" s="97" t="n"/>
    </row>
    <row r="798">
      <c r="A798" s="93" t="n"/>
      <c r="B798" s="93" t="n"/>
      <c r="C798" s="93" t="n"/>
      <c r="D798" s="93" t="n"/>
      <c r="E798" s="93" t="n"/>
      <c r="F798" s="93" t="n"/>
      <c r="G798" s="94" t="n"/>
      <c r="H798" s="93" t="n"/>
      <c r="I798" s="93" t="n"/>
      <c r="J798" s="93" t="n"/>
      <c r="K798" s="93" t="n"/>
      <c r="L798" s="93" t="n"/>
      <c r="M798" s="93" t="n"/>
    </row>
    <row r="799">
      <c r="A799" s="93" t="n"/>
      <c r="B799" s="93" t="n"/>
      <c r="C799" s="93" t="n"/>
      <c r="D799" s="93" t="n"/>
      <c r="E799" s="93" t="n"/>
      <c r="F799" s="93" t="n"/>
      <c r="G799" s="94" t="n"/>
      <c r="H799" s="93" t="n"/>
      <c r="I799" s="93" t="n"/>
      <c r="J799" s="93" t="n"/>
      <c r="K799" s="93" t="n"/>
      <c r="L799" s="93" t="n"/>
      <c r="M799" s="93" t="n"/>
    </row>
    <row r="800">
      <c r="A800" s="111" t="n"/>
      <c r="B800" s="111" t="n"/>
      <c r="C800" s="111" t="n"/>
      <c r="D800" s="111" t="n"/>
      <c r="E800" s="111" t="n"/>
      <c r="F800" s="111" t="n"/>
      <c r="G800" s="112" t="n"/>
      <c r="H800" s="111" t="n"/>
      <c r="I800" s="111" t="n"/>
      <c r="J800" s="111" t="n"/>
      <c r="K800" s="111" t="n"/>
      <c r="L800" s="111" t="n"/>
      <c r="M800" s="111" t="n"/>
    </row>
    <row r="801">
      <c r="A801" s="96" t="n"/>
      <c r="B801" s="97" t="n"/>
      <c r="C801" s="96" t="n"/>
      <c r="D801" s="97" t="n"/>
      <c r="E801" s="96" t="n"/>
      <c r="F801" s="97" t="n"/>
      <c r="G801" s="94" t="n"/>
      <c r="H801" s="96" t="n"/>
      <c r="I801" s="97" t="n"/>
      <c r="J801" s="96" t="n"/>
      <c r="K801" s="97" t="n"/>
      <c r="L801" s="96" t="n"/>
      <c r="M801" s="97" t="n"/>
    </row>
    <row r="802">
      <c r="A802" s="93" t="n"/>
      <c r="B802" s="93" t="n"/>
      <c r="C802" s="93" t="n"/>
      <c r="D802" s="93" t="n"/>
      <c r="E802" s="93" t="n"/>
      <c r="F802" s="93" t="n"/>
      <c r="G802" s="94" t="n"/>
      <c r="H802" s="93" t="n"/>
      <c r="I802" s="93" t="n"/>
      <c r="J802" s="93" t="n"/>
      <c r="K802" s="93" t="n"/>
      <c r="L802" s="93" t="n"/>
      <c r="M802" s="93" t="n"/>
    </row>
    <row r="803">
      <c r="A803" s="96" t="n"/>
      <c r="B803" s="97" t="n"/>
      <c r="C803" s="96" t="n"/>
      <c r="D803" s="97" t="n"/>
      <c r="E803" s="96" t="n"/>
      <c r="F803" s="97" t="n"/>
      <c r="G803" s="94" t="n"/>
      <c r="H803" s="96" t="n"/>
      <c r="I803" s="97" t="n"/>
      <c r="J803" s="96" t="n"/>
      <c r="K803" s="97" t="n"/>
      <c r="L803" s="96" t="n"/>
      <c r="M803" s="97" t="n"/>
    </row>
    <row r="804">
      <c r="A804" s="93" t="n"/>
      <c r="B804" s="93" t="n"/>
      <c r="C804" s="93" t="n"/>
      <c r="D804" s="93" t="n"/>
      <c r="E804" s="93" t="n"/>
      <c r="F804" s="93" t="n"/>
      <c r="G804" s="94" t="n"/>
      <c r="H804" s="93" t="n"/>
      <c r="I804" s="93" t="n"/>
      <c r="J804" s="93" t="n"/>
      <c r="K804" s="93" t="n"/>
      <c r="L804" s="93" t="n"/>
      <c r="M804" s="93" t="n"/>
    </row>
    <row r="805" ht="15" customHeight="1" s="54" thickBot="1">
      <c r="A805" s="96" t="n"/>
      <c r="B805" s="97" t="n"/>
      <c r="C805" s="96" t="n"/>
      <c r="D805" s="97" t="n"/>
      <c r="E805" s="96" t="n"/>
      <c r="F805" s="97" t="n"/>
      <c r="G805" s="94" t="n"/>
      <c r="H805" s="96" t="n"/>
      <c r="I805" s="97" t="n"/>
      <c r="J805" s="96" t="n"/>
      <c r="K805" s="97" t="n"/>
      <c r="L805" s="96" t="n"/>
      <c r="M805" s="97" t="n"/>
    </row>
    <row r="806" ht="15" customHeight="1" s="54" thickTop="1">
      <c r="A806" s="108" t="n"/>
      <c r="B806" s="108" t="n"/>
      <c r="C806" s="108" t="n"/>
      <c r="D806" s="108" t="n"/>
      <c r="E806" s="108" t="n"/>
      <c r="F806" s="108" t="n"/>
      <c r="G806" s="109" t="n"/>
      <c r="H806" s="108" t="n"/>
      <c r="I806" s="108" t="n"/>
      <c r="J806" s="108" t="n"/>
      <c r="K806" s="108" t="n"/>
      <c r="L806" s="108" t="n"/>
      <c r="M806" s="108" t="n"/>
    </row>
    <row r="807">
      <c r="A807" s="107" t="n"/>
      <c r="B807" s="107" t="n"/>
      <c r="C807" s="107" t="n"/>
      <c r="D807" s="107" t="n"/>
      <c r="E807" s="107" t="n"/>
      <c r="F807" s="90" t="n"/>
      <c r="G807" s="90" t="n"/>
      <c r="H807" s="90" t="n"/>
      <c r="I807" s="90" t="n"/>
      <c r="J807" s="90" t="n"/>
      <c r="K807" s="90" t="n"/>
      <c r="L807" s="90" t="n"/>
      <c r="M807" s="90" t="n"/>
    </row>
    <row r="808">
      <c r="A808" s="90" t="n"/>
      <c r="B808" s="90" t="n"/>
      <c r="C808" s="90" t="n"/>
      <c r="D808" s="90" t="n"/>
      <c r="E808" s="90" t="n"/>
      <c r="F808" s="91" t="n"/>
      <c r="G808" s="91" t="n"/>
      <c r="H808" s="91" t="n"/>
      <c r="I808" s="91" t="n"/>
      <c r="J808" s="90" t="n"/>
      <c r="K808" s="90" t="n"/>
      <c r="L808" s="90" t="n"/>
      <c r="M808" s="90" t="n"/>
    </row>
    <row r="809">
      <c r="A809" s="90" t="n"/>
      <c r="B809" s="90" t="n"/>
      <c r="C809" s="90" t="n"/>
      <c r="D809" s="90" t="n"/>
      <c r="E809" s="90" t="n"/>
      <c r="F809" s="91" t="n"/>
      <c r="G809" s="91" t="n"/>
      <c r="H809" s="91" t="n"/>
      <c r="I809" s="91" t="n"/>
      <c r="J809" s="90" t="n"/>
      <c r="K809" s="90" t="n"/>
      <c r="L809" s="90" t="n"/>
      <c r="M809" s="90" t="n"/>
    </row>
    <row r="810">
      <c r="A810" s="90" t="n"/>
      <c r="B810" s="90" t="n"/>
      <c r="C810" s="90" t="n"/>
      <c r="D810" s="90" t="n"/>
      <c r="E810" s="90" t="n"/>
      <c r="F810" s="91" t="n"/>
      <c r="G810" s="91" t="n"/>
      <c r="H810" s="91" t="n"/>
      <c r="I810" s="91" t="n"/>
      <c r="J810" s="90" t="n"/>
      <c r="K810" s="90" t="n"/>
      <c r="L810" s="90" t="n"/>
      <c r="M810" s="90" t="n"/>
    </row>
    <row r="811">
      <c r="A811" s="92" t="n"/>
      <c r="B811" s="92" t="n"/>
      <c r="C811" s="92" t="n"/>
      <c r="D811" s="92" t="n"/>
      <c r="E811" s="92" t="n"/>
      <c r="F811" s="92" t="n"/>
      <c r="H811" s="92" t="n"/>
      <c r="I811" s="92" t="n"/>
      <c r="J811" s="92" t="n"/>
      <c r="K811" s="92" t="n"/>
      <c r="L811" s="92" t="n"/>
      <c r="M811" s="92" t="n"/>
    </row>
    <row r="812">
      <c r="A812" s="93" t="n"/>
      <c r="B812" s="93" t="n"/>
      <c r="C812" s="93" t="n"/>
      <c r="D812" s="93" t="n"/>
      <c r="E812" s="93" t="n"/>
      <c r="F812" s="93" t="n"/>
      <c r="G812" s="94" t="n"/>
      <c r="H812" s="93" t="n"/>
      <c r="I812" s="93" t="n"/>
      <c r="J812" s="93" t="n"/>
      <c r="K812" s="93" t="n"/>
      <c r="L812" s="93" t="n"/>
      <c r="M812" s="93" t="n"/>
    </row>
    <row r="813">
      <c r="A813" s="93" t="n"/>
      <c r="B813" s="93" t="n"/>
      <c r="C813" s="93" t="n"/>
      <c r="D813" s="93" t="n"/>
      <c r="E813" s="93" t="n"/>
      <c r="F813" s="93" t="n"/>
      <c r="G813" s="94" t="n"/>
      <c r="H813" s="93" t="n"/>
      <c r="I813" s="93" t="n"/>
      <c r="J813" s="93" t="n"/>
      <c r="K813" s="93" t="n"/>
      <c r="L813" s="93" t="n"/>
      <c r="M813" s="93" t="n"/>
    </row>
    <row r="814">
      <c r="A814" s="113" t="n"/>
      <c r="B814" s="106" t="n"/>
      <c r="C814" s="113" t="n"/>
      <c r="D814" s="106" t="n"/>
      <c r="E814" s="113" t="n"/>
      <c r="F814" s="106" t="n"/>
      <c r="G814" s="101" t="n"/>
      <c r="H814" s="113" t="n"/>
      <c r="I814" s="106" t="n"/>
      <c r="J814" s="113" t="n"/>
      <c r="K814" s="106" t="n"/>
      <c r="L814" s="113" t="n"/>
      <c r="M814" s="106" t="n"/>
    </row>
    <row r="815">
      <c r="A815" s="113" t="n"/>
      <c r="B815" s="106" t="n"/>
      <c r="C815" s="113" t="n"/>
      <c r="D815" s="106" t="n"/>
      <c r="E815" s="113" t="n"/>
      <c r="F815" s="106" t="n"/>
      <c r="G815" s="101" t="n"/>
      <c r="H815" s="113" t="n"/>
      <c r="I815" s="106" t="n"/>
      <c r="J815" s="113" t="n"/>
      <c r="K815" s="106" t="n"/>
      <c r="L815" s="113" t="n"/>
      <c r="M815" s="106" t="n"/>
    </row>
    <row r="816">
      <c r="A816" s="113" t="n"/>
      <c r="B816" s="106" t="n"/>
      <c r="C816" s="113" t="n"/>
      <c r="D816" s="106" t="n"/>
      <c r="E816" s="113" t="n"/>
      <c r="F816" s="106" t="n"/>
      <c r="G816" s="101" t="n"/>
      <c r="H816" s="113" t="n"/>
      <c r="I816" s="106" t="n"/>
      <c r="J816" s="113" t="n"/>
      <c r="K816" s="106" t="n"/>
      <c r="L816" s="113" t="n"/>
      <c r="M816" s="106" t="n"/>
    </row>
    <row r="817">
      <c r="A817" s="113" t="n"/>
      <c r="B817" s="106" t="n"/>
      <c r="C817" s="113" t="n"/>
      <c r="D817" s="106" t="n"/>
      <c r="E817" s="113" t="n"/>
      <c r="F817" s="106" t="n"/>
      <c r="G817" s="101" t="n"/>
      <c r="H817" s="113" t="n"/>
      <c r="I817" s="106" t="n"/>
      <c r="J817" s="113" t="n"/>
      <c r="K817" s="106" t="n"/>
      <c r="L817" s="113" t="n"/>
      <c r="M817" s="106" t="n"/>
    </row>
    <row r="818">
      <c r="A818" s="113" t="n"/>
      <c r="B818" s="106" t="n"/>
      <c r="C818" s="113" t="n"/>
      <c r="D818" s="106" t="n"/>
      <c r="E818" s="113" t="n"/>
      <c r="F818" s="106" t="n"/>
      <c r="G818" s="101" t="n"/>
      <c r="H818" s="113" t="n"/>
      <c r="I818" s="106" t="n"/>
      <c r="J818" s="113" t="n"/>
      <c r="K818" s="106" t="n"/>
      <c r="L818" s="113" t="n"/>
      <c r="M818" s="106" t="n"/>
    </row>
    <row r="819">
      <c r="A819" s="113" t="n"/>
      <c r="B819" s="106" t="n"/>
      <c r="C819" s="113" t="n"/>
      <c r="D819" s="106" t="n"/>
      <c r="E819" s="113" t="n"/>
      <c r="F819" s="106" t="n"/>
      <c r="G819" s="101" t="n"/>
      <c r="H819" s="113" t="n"/>
      <c r="I819" s="106" t="n"/>
      <c r="J819" s="113" t="n"/>
      <c r="K819" s="106" t="n"/>
      <c r="L819" s="113" t="n"/>
      <c r="M819" s="106" t="n"/>
    </row>
    <row r="820">
      <c r="A820" s="113" t="n"/>
      <c r="B820" s="106" t="n"/>
      <c r="C820" s="113" t="n"/>
      <c r="D820" s="106" t="n"/>
      <c r="E820" s="113" t="n"/>
      <c r="F820" s="106" t="n"/>
      <c r="G820" s="101" t="n"/>
      <c r="H820" s="113" t="n"/>
      <c r="I820" s="106" t="n"/>
      <c r="J820" s="113" t="n"/>
      <c r="K820" s="106" t="n"/>
      <c r="L820" s="113" t="n"/>
      <c r="M820" s="106" t="n"/>
    </row>
    <row r="821">
      <c r="A821" s="107" t="n"/>
      <c r="B821" s="107" t="n"/>
      <c r="C821" s="107" t="n"/>
      <c r="D821" s="107" t="n"/>
      <c r="E821" s="107" t="n"/>
      <c r="F821" s="90" t="n"/>
      <c r="G821" s="90" t="n"/>
      <c r="H821" s="90" t="n"/>
      <c r="I821" s="90" t="n"/>
      <c r="J821" s="90" t="n"/>
      <c r="K821" s="90" t="n"/>
      <c r="L821" s="90" t="n"/>
      <c r="M821" s="90" t="n"/>
    </row>
    <row r="822">
      <c r="A822" s="90" t="n"/>
      <c r="B822" s="90" t="n"/>
      <c r="C822" s="90" t="n"/>
      <c r="D822" s="90" t="n"/>
      <c r="E822" s="90" t="n"/>
      <c r="F822" s="91" t="n"/>
      <c r="G822" s="91" t="n"/>
      <c r="H822" s="91" t="n"/>
      <c r="I822" s="91" t="n"/>
      <c r="J822" s="90" t="n"/>
      <c r="K822" s="90" t="n"/>
      <c r="L822" s="90" t="n"/>
      <c r="M822" s="90" t="n"/>
    </row>
    <row r="823">
      <c r="A823" s="90" t="n"/>
      <c r="B823" s="90" t="n"/>
      <c r="C823" s="90" t="n"/>
      <c r="D823" s="90" t="n"/>
      <c r="E823" s="90" t="n"/>
      <c r="F823" s="91" t="n"/>
      <c r="G823" s="91" t="n"/>
      <c r="H823" s="91" t="n"/>
      <c r="I823" s="91" t="n"/>
      <c r="J823" s="90" t="n"/>
      <c r="K823" s="90" t="n"/>
      <c r="L823" s="90" t="n"/>
      <c r="M823" s="90" t="n"/>
    </row>
    <row r="824">
      <c r="A824" s="90" t="n"/>
      <c r="B824" s="90" t="n"/>
      <c r="C824" s="90" t="n"/>
      <c r="D824" s="90" t="n"/>
      <c r="E824" s="90" t="n"/>
      <c r="F824" s="91" t="n"/>
      <c r="G824" s="91" t="n"/>
      <c r="H824" s="91" t="n"/>
      <c r="I824" s="91" t="n"/>
      <c r="J824" s="90" t="n"/>
      <c r="K824" s="90" t="n"/>
      <c r="L824" s="90" t="n"/>
      <c r="M824" s="90" t="n"/>
    </row>
    <row r="825">
      <c r="A825" s="92" t="n"/>
      <c r="B825" s="92" t="n"/>
      <c r="C825" s="92" t="n"/>
      <c r="D825" s="92" t="n"/>
      <c r="E825" s="92" t="n"/>
      <c r="F825" s="92" t="n"/>
      <c r="H825" s="92" t="n"/>
      <c r="I825" s="92" t="n"/>
      <c r="J825" s="92" t="n"/>
      <c r="K825" s="92" t="n"/>
      <c r="L825" s="92" t="n"/>
      <c r="M825" s="92" t="n"/>
    </row>
    <row r="826">
      <c r="A826" s="93" t="n"/>
      <c r="B826" s="93" t="n"/>
      <c r="C826" s="93" t="n"/>
      <c r="D826" s="93" t="n"/>
      <c r="E826" s="93" t="n"/>
      <c r="F826" s="93" t="n"/>
      <c r="G826" s="94" t="n"/>
      <c r="H826" s="93" t="n"/>
      <c r="I826" s="93" t="n"/>
      <c r="J826" s="93" t="n"/>
      <c r="K826" s="93" t="n"/>
      <c r="L826" s="93" t="n"/>
      <c r="M826" s="93" t="n"/>
    </row>
    <row r="827">
      <c r="A827" s="93" t="n"/>
      <c r="B827" s="93" t="n"/>
      <c r="C827" s="93" t="n"/>
      <c r="D827" s="93" t="n"/>
      <c r="E827" s="93" t="n"/>
      <c r="F827" s="93" t="n"/>
      <c r="G827" s="94" t="n"/>
      <c r="H827" s="93" t="n"/>
      <c r="I827" s="93" t="n"/>
      <c r="J827" s="93" t="n"/>
      <c r="K827" s="93" t="n"/>
      <c r="L827" s="93" t="n"/>
      <c r="M827" s="93" t="n"/>
    </row>
    <row r="828">
      <c r="A828" s="93" t="n"/>
      <c r="B828" s="93" t="n"/>
      <c r="C828" s="93" t="n"/>
      <c r="D828" s="93" t="n"/>
      <c r="E828" s="93" t="n"/>
      <c r="F828" s="93" t="n"/>
      <c r="G828" s="94" t="n"/>
      <c r="H828" s="93" t="n"/>
      <c r="I828" s="93" t="n"/>
      <c r="J828" s="93" t="n"/>
      <c r="K828" s="93" t="n"/>
      <c r="L828" s="93" t="n"/>
      <c r="M828" s="93" t="n"/>
    </row>
    <row r="829">
      <c r="A829" s="111" t="n"/>
      <c r="B829" s="111" t="n"/>
      <c r="C829" s="111" t="n"/>
      <c r="D829" s="111" t="n"/>
      <c r="E829" s="111" t="n"/>
      <c r="F829" s="111" t="n"/>
      <c r="G829" s="112" t="n"/>
      <c r="H829" s="111" t="n"/>
      <c r="I829" s="111" t="n"/>
      <c r="J829" s="111" t="n"/>
      <c r="K829" s="111" t="n"/>
      <c r="L829" s="111" t="n"/>
      <c r="M829" s="111" t="n"/>
    </row>
    <row r="830">
      <c r="A830" s="96" t="n"/>
      <c r="B830" s="97" t="n"/>
      <c r="C830" s="96" t="n"/>
      <c r="D830" s="97" t="n"/>
      <c r="E830" s="96" t="n"/>
      <c r="F830" s="97" t="n"/>
      <c r="G830" s="94" t="n"/>
      <c r="H830" s="96" t="n"/>
      <c r="I830" s="97" t="n"/>
      <c r="J830" s="96" t="n"/>
      <c r="K830" s="97" t="n"/>
      <c r="L830" s="96" t="n"/>
      <c r="M830" s="97" t="n"/>
    </row>
    <row r="831">
      <c r="A831" s="93" t="n"/>
      <c r="B831" s="93" t="n"/>
      <c r="C831" s="93" t="n"/>
      <c r="D831" s="93" t="n"/>
      <c r="E831" s="93" t="n"/>
      <c r="F831" s="93" t="n"/>
      <c r="G831" s="94" t="n"/>
      <c r="H831" s="93" t="n"/>
      <c r="I831" s="93" t="n"/>
      <c r="J831" s="93" t="n"/>
      <c r="K831" s="93" t="n"/>
      <c r="L831" s="93" t="n"/>
      <c r="M831" s="93" t="n"/>
    </row>
    <row r="832">
      <c r="A832" s="93" t="n"/>
      <c r="B832" s="93" t="n"/>
      <c r="C832" s="93" t="n"/>
      <c r="D832" s="93" t="n"/>
      <c r="E832" s="93" t="n"/>
      <c r="F832" s="93" t="n"/>
      <c r="G832" s="94" t="n"/>
      <c r="H832" s="93" t="n"/>
      <c r="I832" s="93" t="n"/>
      <c r="J832" s="93" t="n"/>
      <c r="K832" s="93" t="n"/>
      <c r="L832" s="93" t="n"/>
      <c r="M832" s="93" t="n"/>
    </row>
    <row r="833">
      <c r="A833" s="93" t="n"/>
      <c r="B833" s="93" t="n"/>
      <c r="C833" s="93" t="n"/>
      <c r="D833" s="93" t="n"/>
      <c r="E833" s="93" t="n"/>
      <c r="F833" s="93" t="n"/>
      <c r="G833" s="94" t="n"/>
      <c r="H833" s="93" t="n"/>
      <c r="I833" s="93" t="n"/>
      <c r="J833" s="93" t="n"/>
      <c r="K833" s="93" t="n"/>
      <c r="L833" s="93" t="n"/>
      <c r="M833" s="93" t="n"/>
    </row>
    <row r="834">
      <c r="A834" s="93" t="n"/>
      <c r="B834" s="93" t="n"/>
      <c r="C834" s="93" t="n"/>
      <c r="D834" s="93" t="n"/>
      <c r="E834" s="93" t="n"/>
      <c r="F834" s="93" t="n"/>
      <c r="G834" s="94" t="n"/>
      <c r="H834" s="93" t="n"/>
      <c r="I834" s="93" t="n"/>
      <c r="J834" s="93" t="n"/>
      <c r="K834" s="93" t="n"/>
      <c r="L834" s="93" t="n"/>
      <c r="M834" s="93" t="n"/>
    </row>
    <row r="835">
      <c r="A835" s="93" t="n"/>
      <c r="B835" s="93" t="n"/>
      <c r="C835" s="93" t="n"/>
      <c r="D835" s="93" t="n"/>
      <c r="E835" s="93" t="n"/>
      <c r="F835" s="93" t="n"/>
      <c r="G835" s="94" t="n"/>
      <c r="H835" s="93" t="n"/>
      <c r="I835" s="93" t="n"/>
      <c r="J835" s="93" t="n"/>
      <c r="K835" s="93" t="n"/>
      <c r="L835" s="93" t="n"/>
      <c r="M835" s="93" t="n"/>
    </row>
    <row r="836">
      <c r="A836" s="96" t="n"/>
      <c r="B836" s="97" t="n"/>
      <c r="C836" s="96" t="n"/>
      <c r="D836" s="97" t="n"/>
      <c r="E836" s="96" t="n"/>
      <c r="F836" s="97" t="n"/>
      <c r="G836" s="94" t="n"/>
      <c r="H836" s="96" t="n"/>
      <c r="I836" s="97" t="n"/>
      <c r="J836" s="96" t="n"/>
      <c r="K836" s="97" t="n"/>
      <c r="L836" s="96" t="n"/>
      <c r="M836" s="97" t="n"/>
    </row>
    <row r="837">
      <c r="A837" s="93" t="n"/>
      <c r="B837" s="93" t="n"/>
      <c r="C837" s="93" t="n"/>
      <c r="D837" s="93" t="n"/>
      <c r="E837" s="93" t="n"/>
      <c r="F837" s="93" t="n"/>
      <c r="G837" s="94" t="n"/>
      <c r="H837" s="93" t="n"/>
      <c r="I837" s="93" t="n"/>
      <c r="J837" s="93" t="n"/>
      <c r="K837" s="93" t="n"/>
      <c r="L837" s="93" t="n"/>
      <c r="M837" s="93" t="n"/>
    </row>
    <row r="838">
      <c r="A838" s="93" t="n"/>
      <c r="B838" s="93" t="n"/>
      <c r="C838" s="93" t="n"/>
      <c r="D838" s="93" t="n"/>
      <c r="E838" s="93" t="n"/>
      <c r="F838" s="93" t="n"/>
      <c r="G838" s="94" t="n"/>
      <c r="H838" s="93" t="n"/>
      <c r="I838" s="93" t="n"/>
      <c r="J838" s="93" t="n"/>
      <c r="K838" s="93" t="n"/>
      <c r="L838" s="93" t="n"/>
      <c r="M838" s="93" t="n"/>
    </row>
    <row r="839">
      <c r="A839" s="96" t="n"/>
      <c r="B839" s="97" t="n"/>
      <c r="C839" s="96" t="n"/>
      <c r="D839" s="97" t="n"/>
      <c r="E839" s="96" t="n"/>
      <c r="F839" s="97" t="n"/>
      <c r="G839" s="94" t="n"/>
      <c r="H839" s="96" t="n"/>
      <c r="I839" s="97" t="n"/>
      <c r="J839" s="96" t="n"/>
      <c r="K839" s="97" t="n"/>
      <c r="L839" s="96" t="n"/>
      <c r="M839" s="97" t="n"/>
    </row>
    <row r="840">
      <c r="A840" s="93" t="n"/>
      <c r="B840" s="93" t="n"/>
      <c r="C840" s="93" t="n"/>
      <c r="D840" s="93" t="n"/>
      <c r="E840" s="93" t="n"/>
      <c r="F840" s="93" t="n"/>
      <c r="G840" s="94" t="n"/>
      <c r="H840" s="93" t="n"/>
      <c r="I840" s="93" t="n"/>
      <c r="J840" s="93" t="n"/>
      <c r="K840" s="93" t="n"/>
      <c r="L840" s="93" t="n"/>
      <c r="M840" s="93" t="n"/>
    </row>
    <row r="841">
      <c r="A841" s="96" t="n"/>
      <c r="B841" s="97" t="n"/>
      <c r="C841" s="96" t="n"/>
      <c r="D841" s="97" t="n"/>
      <c r="E841" s="96" t="n"/>
      <c r="F841" s="97" t="n"/>
      <c r="G841" s="94" t="n"/>
      <c r="H841" s="96" t="n"/>
      <c r="I841" s="97" t="n"/>
      <c r="J841" s="96" t="n"/>
      <c r="K841" s="97" t="n"/>
      <c r="L841" s="96" t="n"/>
      <c r="M841" s="97" t="n"/>
    </row>
    <row r="842">
      <c r="A842" s="93" t="n"/>
      <c r="B842" s="93" t="n"/>
      <c r="C842" s="93" t="n"/>
      <c r="D842" s="93" t="n"/>
      <c r="E842" s="93" t="n"/>
      <c r="F842" s="93" t="n"/>
      <c r="G842" s="94" t="n"/>
      <c r="H842" s="93" t="n"/>
      <c r="I842" s="93" t="n"/>
      <c r="J842" s="93" t="n"/>
      <c r="K842" s="93" t="n"/>
      <c r="L842" s="93" t="n"/>
      <c r="M842" s="93" t="n"/>
    </row>
    <row r="843">
      <c r="A843" s="93" t="n"/>
      <c r="B843" s="93" t="n"/>
      <c r="C843" s="93" t="n"/>
      <c r="D843" s="93" t="n"/>
      <c r="E843" s="93" t="n"/>
      <c r="F843" s="93" t="n"/>
      <c r="G843" s="94" t="n"/>
      <c r="H843" s="93" t="n"/>
      <c r="I843" s="93" t="n"/>
      <c r="J843" s="93" t="n"/>
      <c r="K843" s="93" t="n"/>
      <c r="L843" s="93" t="n"/>
      <c r="M843" s="93" t="n"/>
    </row>
    <row r="844">
      <c r="A844" s="111" t="n"/>
      <c r="B844" s="111" t="n"/>
      <c r="C844" s="111" t="n"/>
      <c r="D844" s="111" t="n"/>
      <c r="E844" s="111" t="n"/>
      <c r="F844" s="111" t="n"/>
      <c r="G844" s="112" t="n"/>
      <c r="H844" s="111" t="n"/>
      <c r="I844" s="111" t="n"/>
      <c r="J844" s="111" t="n"/>
      <c r="K844" s="111" t="n"/>
      <c r="L844" s="111" t="n"/>
      <c r="M844" s="111" t="n"/>
    </row>
    <row r="845">
      <c r="A845" s="96" t="n"/>
      <c r="B845" s="97" t="n"/>
      <c r="C845" s="96" t="n"/>
      <c r="D845" s="97" t="n"/>
      <c r="E845" s="96" t="n"/>
      <c r="F845" s="97" t="n"/>
      <c r="G845" s="94" t="n"/>
      <c r="H845" s="96" t="n"/>
      <c r="I845" s="97" t="n"/>
      <c r="J845" s="96" t="n"/>
      <c r="K845" s="97" t="n"/>
      <c r="L845" s="96" t="n"/>
      <c r="M845" s="97" t="n"/>
    </row>
    <row r="846">
      <c r="A846" s="93" t="n"/>
      <c r="B846" s="93" t="n"/>
      <c r="C846" s="93" t="n"/>
      <c r="D846" s="93" t="n"/>
      <c r="E846" s="93" t="n"/>
      <c r="F846" s="93" t="n"/>
      <c r="G846" s="94" t="n"/>
      <c r="H846" s="93" t="n"/>
      <c r="I846" s="93" t="n"/>
      <c r="J846" s="93" t="n"/>
      <c r="K846" s="93" t="n"/>
      <c r="L846" s="93" t="n"/>
      <c r="M846" s="93" t="n"/>
    </row>
    <row r="847">
      <c r="A847" s="96" t="n"/>
      <c r="B847" s="97" t="n"/>
      <c r="C847" s="96" t="n"/>
      <c r="D847" s="97" t="n"/>
      <c r="E847" s="96" t="n"/>
      <c r="F847" s="97" t="n"/>
      <c r="G847" s="94" t="n"/>
      <c r="H847" s="96" t="n"/>
      <c r="I847" s="97" t="n"/>
      <c r="J847" s="96" t="n"/>
      <c r="K847" s="97" t="n"/>
      <c r="L847" s="96" t="n"/>
      <c r="M847" s="97" t="n"/>
    </row>
    <row r="848">
      <c r="A848" s="93" t="n"/>
      <c r="B848" s="93" t="n"/>
      <c r="C848" s="93" t="n"/>
      <c r="D848" s="93" t="n"/>
      <c r="E848" s="93" t="n"/>
      <c r="F848" s="93" t="n"/>
      <c r="G848" s="94" t="n"/>
      <c r="H848" s="93" t="n"/>
      <c r="I848" s="93" t="n"/>
      <c r="J848" s="93" t="n"/>
      <c r="K848" s="93" t="n"/>
      <c r="L848" s="93" t="n"/>
      <c r="M848" s="93" t="n"/>
    </row>
    <row r="849" ht="15" customHeight="1" s="54" thickBot="1">
      <c r="A849" s="96" t="n"/>
      <c r="B849" s="97" t="n"/>
      <c r="C849" s="96" t="n"/>
      <c r="D849" s="97" t="n"/>
      <c r="E849" s="96" t="n"/>
      <c r="F849" s="97" t="n"/>
      <c r="G849" s="94" t="n"/>
      <c r="H849" s="96" t="n"/>
      <c r="I849" s="97" t="n"/>
      <c r="J849" s="96" t="n"/>
      <c r="K849" s="97" t="n"/>
      <c r="L849" s="96" t="n"/>
      <c r="M849" s="97" t="n"/>
    </row>
    <row r="850" ht="15" customHeight="1" s="54" thickTop="1">
      <c r="A850" s="108" t="n"/>
      <c r="B850" s="108" t="n"/>
      <c r="C850" s="108" t="n"/>
      <c r="D850" s="108" t="n"/>
      <c r="E850" s="108" t="n"/>
      <c r="F850" s="108" t="n"/>
      <c r="G850" s="109" t="n"/>
      <c r="H850" s="108" t="n"/>
      <c r="I850" s="108" t="n"/>
      <c r="J850" s="108" t="n"/>
      <c r="K850" s="108" t="n"/>
      <c r="L850" s="108" t="n"/>
      <c r="M850" s="108" t="n"/>
    </row>
    <row r="851">
      <c r="A851" s="107" t="n"/>
      <c r="B851" s="107" t="n"/>
      <c r="C851" s="107" t="n"/>
      <c r="D851" s="107" t="n"/>
      <c r="E851" s="107" t="n"/>
      <c r="F851" s="90" t="n"/>
      <c r="G851" s="90" t="n"/>
      <c r="H851" s="90" t="n"/>
      <c r="I851" s="90" t="n"/>
      <c r="J851" s="90" t="n"/>
      <c r="K851" s="90" t="n"/>
      <c r="L851" s="90" t="n"/>
      <c r="M851" s="90" t="n"/>
    </row>
    <row r="852">
      <c r="A852" s="90" t="n"/>
      <c r="B852" s="90" t="n"/>
      <c r="C852" s="90" t="n"/>
      <c r="D852" s="90" t="n"/>
      <c r="E852" s="90" t="n"/>
      <c r="F852" s="91" t="n"/>
      <c r="G852" s="91" t="n"/>
      <c r="H852" s="91" t="n"/>
      <c r="I852" s="91" t="n"/>
      <c r="J852" s="90" t="n"/>
      <c r="K852" s="90" t="n"/>
      <c r="L852" s="90" t="n"/>
      <c r="M852" s="90" t="n"/>
    </row>
    <row r="853">
      <c r="A853" s="90" t="n"/>
      <c r="B853" s="90" t="n"/>
      <c r="C853" s="90" t="n"/>
      <c r="D853" s="90" t="n"/>
      <c r="E853" s="90" t="n"/>
      <c r="F853" s="91" t="n"/>
      <c r="G853" s="91" t="n"/>
      <c r="H853" s="91" t="n"/>
      <c r="I853" s="91" t="n"/>
      <c r="J853" s="90" t="n"/>
      <c r="K853" s="90" t="n"/>
      <c r="L853" s="90" t="n"/>
      <c r="M853" s="90" t="n"/>
    </row>
    <row r="854">
      <c r="A854" s="90" t="n"/>
      <c r="B854" s="90" t="n"/>
      <c r="C854" s="90" t="n"/>
      <c r="D854" s="90" t="n"/>
      <c r="E854" s="90" t="n"/>
      <c r="F854" s="91" t="n"/>
      <c r="G854" s="91" t="n"/>
      <c r="H854" s="91" t="n"/>
      <c r="I854" s="91" t="n"/>
      <c r="J854" s="90" t="n"/>
      <c r="K854" s="90" t="n"/>
      <c r="L854" s="90" t="n"/>
      <c r="M854" s="90" t="n"/>
    </row>
    <row r="855">
      <c r="A855" s="92" t="n"/>
      <c r="B855" s="92" t="n"/>
      <c r="C855" s="92" t="n"/>
      <c r="D855" s="92" t="n"/>
      <c r="E855" s="92" t="n"/>
      <c r="F855" s="92" t="n"/>
      <c r="H855" s="92" t="n"/>
      <c r="I855" s="92" t="n"/>
      <c r="J855" s="92" t="n"/>
      <c r="K855" s="92" t="n"/>
      <c r="L855" s="92" t="n"/>
      <c r="M855" s="92" t="n"/>
    </row>
    <row r="856">
      <c r="A856" s="93" t="n"/>
      <c r="B856" s="93" t="n"/>
      <c r="C856" s="93" t="n"/>
      <c r="D856" s="93" t="n"/>
      <c r="E856" s="93" t="n"/>
      <c r="F856" s="93" t="n"/>
      <c r="G856" s="94" t="n"/>
      <c r="H856" s="93" t="n"/>
      <c r="I856" s="93" t="n"/>
      <c r="J856" s="93" t="n"/>
      <c r="K856" s="93" t="n"/>
      <c r="L856" s="93" t="n"/>
      <c r="M856" s="93" t="n"/>
    </row>
    <row r="857">
      <c r="A857" s="93" t="n"/>
      <c r="B857" s="93" t="n"/>
      <c r="C857" s="93" t="n"/>
      <c r="D857" s="93" t="n"/>
      <c r="E857" s="93" t="n"/>
      <c r="F857" s="93" t="n"/>
      <c r="G857" s="94" t="n"/>
      <c r="H857" s="93" t="n"/>
      <c r="I857" s="93" t="n"/>
      <c r="J857" s="93" t="n"/>
      <c r="K857" s="93" t="n"/>
      <c r="L857" s="93" t="n"/>
      <c r="M857" s="93" t="n"/>
    </row>
    <row r="858">
      <c r="A858" s="113" t="n"/>
      <c r="B858" s="106" t="n"/>
      <c r="C858" s="113" t="n"/>
      <c r="D858" s="106" t="n"/>
      <c r="E858" s="113" t="n"/>
      <c r="F858" s="106" t="n"/>
      <c r="G858" s="101" t="n"/>
      <c r="H858" s="113" t="n"/>
      <c r="I858" s="106" t="n"/>
      <c r="J858" s="113" t="n"/>
      <c r="K858" s="106" t="n"/>
      <c r="L858" s="113" t="n"/>
      <c r="M858" s="106" t="n"/>
    </row>
    <row r="859">
      <c r="A859" s="113" t="n"/>
      <c r="B859" s="106" t="n"/>
      <c r="C859" s="113" t="n"/>
      <c r="D859" s="106" t="n"/>
      <c r="E859" s="113" t="n"/>
      <c r="F859" s="106" t="n"/>
      <c r="G859" s="101" t="n"/>
      <c r="H859" s="113" t="n"/>
      <c r="I859" s="106" t="n"/>
      <c r="J859" s="113" t="n"/>
      <c r="K859" s="106" t="n"/>
      <c r="L859" s="113" t="n"/>
      <c r="M859" s="106" t="n"/>
    </row>
    <row r="860">
      <c r="A860" s="113" t="n"/>
      <c r="B860" s="106" t="n"/>
      <c r="C860" s="113" t="n"/>
      <c r="D860" s="106" t="n"/>
      <c r="E860" s="113" t="n"/>
      <c r="F860" s="106" t="n"/>
      <c r="G860" s="101" t="n"/>
      <c r="H860" s="113" t="n"/>
      <c r="I860" s="106" t="n"/>
      <c r="J860" s="113" t="n"/>
      <c r="K860" s="106" t="n"/>
      <c r="L860" s="113" t="n"/>
      <c r="M860" s="106" t="n"/>
    </row>
    <row r="861">
      <c r="A861" s="107" t="n"/>
      <c r="B861" s="107" t="n"/>
      <c r="C861" s="107" t="n"/>
      <c r="D861" s="107" t="n"/>
      <c r="E861" s="107" t="n"/>
      <c r="F861" s="90" t="n"/>
      <c r="G861" s="90" t="n"/>
      <c r="H861" s="90" t="n"/>
      <c r="I861" s="90" t="n"/>
      <c r="J861" s="90" t="n"/>
      <c r="K861" s="90" t="n"/>
      <c r="L861" s="90" t="n"/>
      <c r="M861" s="90" t="n"/>
    </row>
    <row r="862">
      <c r="A862" s="90" t="n"/>
      <c r="B862" s="90" t="n"/>
      <c r="C862" s="90" t="n"/>
      <c r="D862" s="90" t="n"/>
      <c r="E862" s="90" t="n"/>
      <c r="F862" s="91" t="n"/>
      <c r="G862" s="91" t="n"/>
      <c r="H862" s="91" t="n"/>
      <c r="I862" s="91" t="n"/>
      <c r="J862" s="90" t="n"/>
      <c r="K862" s="90" t="n"/>
      <c r="L862" s="90" t="n"/>
      <c r="M862" s="90" t="n"/>
    </row>
    <row r="863">
      <c r="A863" s="90" t="n"/>
      <c r="B863" s="90" t="n"/>
      <c r="C863" s="90" t="n"/>
      <c r="D863" s="90" t="n"/>
      <c r="E863" s="90" t="n"/>
      <c r="F863" s="91" t="n"/>
      <c r="G863" s="91" t="n"/>
      <c r="H863" s="91" t="n"/>
      <c r="I863" s="91" t="n"/>
      <c r="J863" s="90" t="n"/>
      <c r="K863" s="90" t="n"/>
      <c r="L863" s="90" t="n"/>
      <c r="M863" s="90" t="n"/>
    </row>
    <row r="864">
      <c r="A864" s="90" t="n"/>
      <c r="B864" s="90" t="n"/>
      <c r="C864" s="90" t="n"/>
      <c r="D864" s="90" t="n"/>
      <c r="E864" s="90" t="n"/>
      <c r="F864" s="91" t="n"/>
      <c r="G864" s="91" t="n"/>
      <c r="H864" s="91" t="n"/>
      <c r="I864" s="91" t="n"/>
      <c r="J864" s="90" t="n"/>
      <c r="K864" s="90" t="n"/>
      <c r="L864" s="90" t="n"/>
      <c r="M864" s="90" t="n"/>
    </row>
    <row r="865">
      <c r="A865" s="92" t="n"/>
      <c r="B865" s="92" t="n"/>
      <c r="C865" s="92" t="n"/>
      <c r="D865" s="92" t="n"/>
      <c r="E865" s="92" t="n"/>
      <c r="F865" s="92" t="n"/>
      <c r="H865" s="92" t="n"/>
      <c r="I865" s="92" t="n"/>
      <c r="J865" s="92" t="n"/>
      <c r="K865" s="92" t="n"/>
      <c r="L865" s="92" t="n"/>
      <c r="M865" s="92" t="n"/>
    </row>
    <row r="866">
      <c r="A866" s="93" t="n"/>
      <c r="B866" s="93" t="n"/>
      <c r="C866" s="93" t="n"/>
      <c r="D866" s="93" t="n"/>
      <c r="E866" s="93" t="n"/>
      <c r="F866" s="93" t="n"/>
      <c r="G866" s="94" t="n"/>
      <c r="H866" s="93" t="n"/>
      <c r="I866" s="93" t="n"/>
      <c r="J866" s="93" t="n"/>
      <c r="K866" s="93" t="n"/>
      <c r="L866" s="93" t="n"/>
      <c r="M866" s="93" t="n"/>
    </row>
    <row r="867">
      <c r="A867" s="93" t="n"/>
      <c r="B867" s="93" t="n"/>
      <c r="C867" s="93" t="n"/>
      <c r="D867" s="93" t="n"/>
      <c r="E867" s="93" t="n"/>
      <c r="F867" s="93" t="n"/>
      <c r="G867" s="94" t="n"/>
      <c r="H867" s="93" t="n"/>
      <c r="I867" s="93" t="n"/>
      <c r="J867" s="93" t="n"/>
      <c r="K867" s="93" t="n"/>
      <c r="L867" s="93" t="n"/>
      <c r="M867" s="93" t="n"/>
    </row>
    <row r="868">
      <c r="A868" s="93" t="n"/>
      <c r="B868" s="93" t="n"/>
      <c r="C868" s="93" t="n"/>
      <c r="D868" s="93" t="n"/>
      <c r="E868" s="93" t="n"/>
      <c r="F868" s="93" t="n"/>
      <c r="G868" s="94" t="n"/>
      <c r="H868" s="93" t="n"/>
      <c r="I868" s="93" t="n"/>
      <c r="J868" s="93" t="n"/>
      <c r="K868" s="93" t="n"/>
      <c r="L868" s="93" t="n"/>
      <c r="M868" s="93" t="n"/>
    </row>
    <row r="869">
      <c r="A869" s="111" t="n"/>
      <c r="B869" s="111" t="n"/>
      <c r="C869" s="111" t="n"/>
      <c r="D869" s="111" t="n"/>
      <c r="E869" s="111" t="n"/>
      <c r="F869" s="111" t="n"/>
      <c r="G869" s="112" t="n"/>
      <c r="H869" s="111" t="n"/>
      <c r="I869" s="111" t="n"/>
      <c r="J869" s="111" t="n"/>
      <c r="K869" s="111" t="n"/>
      <c r="L869" s="111" t="n"/>
      <c r="M869" s="111" t="n"/>
    </row>
    <row r="870">
      <c r="A870" s="96" t="n"/>
      <c r="B870" s="97" t="n"/>
      <c r="C870" s="96" t="n"/>
      <c r="D870" s="97" t="n"/>
      <c r="E870" s="96" t="n"/>
      <c r="F870" s="97" t="n"/>
      <c r="G870" s="94" t="n"/>
      <c r="H870" s="96" t="n"/>
      <c r="I870" s="97" t="n"/>
      <c r="J870" s="96" t="n"/>
      <c r="K870" s="97" t="n"/>
      <c r="L870" s="96" t="n"/>
      <c r="M870" s="97" t="n"/>
    </row>
    <row r="871">
      <c r="A871" s="93" t="n"/>
      <c r="B871" s="93" t="n"/>
      <c r="C871" s="93" t="n"/>
      <c r="D871" s="93" t="n"/>
      <c r="E871" s="93" t="n"/>
      <c r="F871" s="93" t="n"/>
      <c r="G871" s="94" t="n"/>
      <c r="H871" s="93" t="n"/>
      <c r="I871" s="93" t="n"/>
      <c r="J871" s="93" t="n"/>
      <c r="K871" s="93" t="n"/>
      <c r="L871" s="93" t="n"/>
      <c r="M871" s="93" t="n"/>
    </row>
    <row r="872">
      <c r="A872" s="93" t="n"/>
      <c r="B872" s="93" t="n"/>
      <c r="C872" s="93" t="n"/>
      <c r="D872" s="93" t="n"/>
      <c r="E872" s="93" t="n"/>
      <c r="F872" s="93" t="n"/>
      <c r="G872" s="94" t="n"/>
      <c r="H872" s="93" t="n"/>
      <c r="I872" s="93" t="n"/>
      <c r="J872" s="93" t="n"/>
      <c r="K872" s="93" t="n"/>
      <c r="L872" s="93" t="n"/>
      <c r="M872" s="93" t="n"/>
    </row>
    <row r="873">
      <c r="A873" s="111" t="n"/>
      <c r="B873" s="111" t="n"/>
      <c r="C873" s="111" t="n"/>
      <c r="D873" s="111" t="n"/>
      <c r="E873" s="111" t="n"/>
      <c r="F873" s="111" t="n"/>
      <c r="G873" s="112" t="n"/>
      <c r="H873" s="111" t="n"/>
      <c r="I873" s="111" t="n"/>
      <c r="J873" s="111" t="n"/>
      <c r="K873" s="111" t="n"/>
      <c r="L873" s="111" t="n"/>
      <c r="M873" s="111" t="n"/>
    </row>
    <row r="874">
      <c r="A874" s="96" t="n"/>
      <c r="B874" s="97" t="n"/>
      <c r="C874" s="96" t="n"/>
      <c r="D874" s="97" t="n"/>
      <c r="E874" s="96" t="n"/>
      <c r="F874" s="97" t="n"/>
      <c r="G874" s="94" t="n"/>
      <c r="H874" s="96" t="n"/>
      <c r="I874" s="97" t="n"/>
      <c r="J874" s="96" t="n"/>
      <c r="K874" s="97" t="n"/>
      <c r="L874" s="96" t="n"/>
      <c r="M874" s="97" t="n"/>
    </row>
    <row r="875">
      <c r="A875" s="93" t="n"/>
      <c r="B875" s="93" t="n"/>
      <c r="C875" s="93" t="n"/>
      <c r="D875" s="93" t="n"/>
      <c r="E875" s="93" t="n"/>
      <c r="F875" s="93" t="n"/>
      <c r="G875" s="94" t="n"/>
      <c r="H875" s="93" t="n"/>
      <c r="I875" s="93" t="n"/>
      <c r="J875" s="93" t="n"/>
      <c r="K875" s="93" t="n"/>
      <c r="L875" s="93" t="n"/>
      <c r="M875" s="93" t="n"/>
    </row>
    <row r="876">
      <c r="A876" s="96" t="n"/>
      <c r="B876" s="97" t="n"/>
      <c r="C876" s="96" t="n"/>
      <c r="D876" s="97" t="n"/>
      <c r="E876" s="96" t="n"/>
      <c r="F876" s="97" t="n"/>
      <c r="G876" s="94" t="n"/>
      <c r="H876" s="96" t="n"/>
      <c r="I876" s="97" t="n"/>
      <c r="J876" s="96" t="n"/>
      <c r="K876" s="97" t="n"/>
      <c r="L876" s="96" t="n"/>
      <c r="M876" s="97" t="n"/>
    </row>
    <row r="877">
      <c r="A877" s="93" t="n"/>
      <c r="B877" s="93" t="n"/>
      <c r="C877" s="93" t="n"/>
      <c r="D877" s="93" t="n"/>
      <c r="E877" s="93" t="n"/>
      <c r="F877" s="93" t="n"/>
      <c r="G877" s="94" t="n"/>
      <c r="H877" s="93" t="n"/>
      <c r="I877" s="93" t="n"/>
      <c r="J877" s="93" t="n"/>
      <c r="K877" s="93" t="n"/>
      <c r="L877" s="93" t="n"/>
      <c r="M877" s="93" t="n"/>
    </row>
    <row r="878">
      <c r="A878" s="93" t="n"/>
      <c r="B878" s="93" t="n"/>
      <c r="C878" s="93" t="n"/>
      <c r="D878" s="93" t="n"/>
      <c r="E878" s="93" t="n"/>
      <c r="F878" s="93" t="n"/>
      <c r="G878" s="94" t="n"/>
      <c r="H878" s="93" t="n"/>
      <c r="I878" s="93" t="n"/>
      <c r="J878" s="93" t="n"/>
      <c r="K878" s="93" t="n"/>
      <c r="L878" s="93" t="n"/>
      <c r="M878" s="93" t="n"/>
    </row>
    <row r="879">
      <c r="A879" s="93" t="n"/>
      <c r="B879" s="93" t="n"/>
      <c r="C879" s="93" t="n"/>
      <c r="D879" s="93" t="n"/>
      <c r="E879" s="93" t="n"/>
      <c r="F879" s="93" t="n"/>
      <c r="G879" s="94" t="n"/>
      <c r="H879" s="93" t="n"/>
      <c r="I879" s="93" t="n"/>
      <c r="J879" s="93" t="n"/>
      <c r="K879" s="93" t="n"/>
      <c r="L879" s="93" t="n"/>
      <c r="M879" s="93" t="n"/>
    </row>
    <row r="880">
      <c r="A880" s="93" t="n"/>
      <c r="B880" s="93" t="n"/>
      <c r="C880" s="93" t="n"/>
      <c r="D880" s="93" t="n"/>
      <c r="E880" s="93" t="n"/>
      <c r="F880" s="93" t="n"/>
      <c r="G880" s="94" t="n"/>
      <c r="H880" s="93" t="n"/>
      <c r="I880" s="93" t="n"/>
      <c r="J880" s="93" t="n"/>
      <c r="K880" s="93" t="n"/>
      <c r="L880" s="93" t="n"/>
      <c r="M880" s="93" t="n"/>
    </row>
    <row r="881">
      <c r="A881" s="93" t="n"/>
      <c r="B881" s="93" t="n"/>
      <c r="C881" s="93" t="n"/>
      <c r="D881" s="93" t="n"/>
      <c r="E881" s="93" t="n"/>
      <c r="F881" s="93" t="n"/>
      <c r="G881" s="94" t="n"/>
      <c r="H881" s="93" t="n"/>
      <c r="I881" s="93" t="n"/>
      <c r="J881" s="93" t="n"/>
      <c r="K881" s="93" t="n"/>
      <c r="L881" s="93" t="n"/>
      <c r="M881" s="93" t="n"/>
    </row>
    <row r="882">
      <c r="A882" s="96" t="n"/>
      <c r="B882" s="97" t="n"/>
      <c r="C882" s="96" t="n"/>
      <c r="D882" s="97" t="n"/>
      <c r="E882" s="96" t="n"/>
      <c r="F882" s="97" t="n"/>
      <c r="G882" s="94" t="n"/>
      <c r="H882" s="96" t="n"/>
      <c r="I882" s="97" t="n"/>
      <c r="J882" s="96" t="n"/>
      <c r="K882" s="97" t="n"/>
      <c r="L882" s="96" t="n"/>
      <c r="M882" s="97" t="n"/>
    </row>
    <row r="883">
      <c r="A883" s="93" t="n"/>
      <c r="B883" s="93" t="n"/>
      <c r="C883" s="93" t="n"/>
      <c r="D883" s="93" t="n"/>
      <c r="E883" s="93" t="n"/>
      <c r="F883" s="93" t="n"/>
      <c r="G883" s="94" t="n"/>
      <c r="H883" s="93" t="n"/>
      <c r="I883" s="93" t="n"/>
      <c r="J883" s="93" t="n"/>
      <c r="K883" s="93" t="n"/>
      <c r="L883" s="93" t="n"/>
      <c r="M883" s="93" t="n"/>
    </row>
    <row r="884">
      <c r="A884" s="93" t="n"/>
      <c r="B884" s="93" t="n"/>
      <c r="C884" s="93" t="n"/>
      <c r="D884" s="93" t="n"/>
      <c r="E884" s="93" t="n"/>
      <c r="F884" s="93" t="n"/>
      <c r="G884" s="94" t="n"/>
      <c r="H884" s="93" t="n"/>
      <c r="I884" s="93" t="n"/>
      <c r="J884" s="93" t="n"/>
      <c r="K884" s="93" t="n"/>
      <c r="L884" s="93" t="n"/>
      <c r="M884" s="93" t="n"/>
    </row>
    <row r="885">
      <c r="A885" s="96" t="n"/>
      <c r="B885" s="97" t="n"/>
      <c r="C885" s="96" t="n"/>
      <c r="D885" s="97" t="n"/>
      <c r="E885" s="96" t="n"/>
      <c r="F885" s="97" t="n"/>
      <c r="G885" s="94" t="n"/>
      <c r="H885" s="96" t="n"/>
      <c r="I885" s="97" t="n"/>
      <c r="J885" s="96" t="n"/>
      <c r="K885" s="97" t="n"/>
      <c r="L885" s="96" t="n"/>
      <c r="M885" s="97" t="n"/>
    </row>
    <row r="886">
      <c r="A886" s="93" t="n"/>
      <c r="B886" s="93" t="n"/>
      <c r="C886" s="93" t="n"/>
      <c r="D886" s="93" t="n"/>
      <c r="E886" s="93" t="n"/>
      <c r="F886" s="93" t="n"/>
      <c r="G886" s="94" t="n"/>
      <c r="H886" s="93" t="n"/>
      <c r="I886" s="93" t="n"/>
      <c r="J886" s="93" t="n"/>
      <c r="K886" s="93" t="n"/>
      <c r="L886" s="93" t="n"/>
      <c r="M886" s="93" t="n"/>
    </row>
    <row r="887">
      <c r="A887" s="96" t="n"/>
      <c r="B887" s="97" t="n"/>
      <c r="C887" s="96" t="n"/>
      <c r="D887" s="97" t="n"/>
      <c r="E887" s="96" t="n"/>
      <c r="F887" s="97" t="n"/>
      <c r="G887" s="94" t="n"/>
      <c r="H887" s="96" t="n"/>
      <c r="I887" s="97" t="n"/>
      <c r="J887" s="96" t="n"/>
      <c r="K887" s="97" t="n"/>
      <c r="L887" s="96" t="n"/>
      <c r="M887" s="97" t="n"/>
    </row>
    <row r="888">
      <c r="A888" s="93" t="n"/>
      <c r="B888" s="93" t="n"/>
      <c r="C888" s="93" t="n"/>
      <c r="D888" s="93" t="n"/>
      <c r="E888" s="93" t="n"/>
      <c r="F888" s="93" t="n"/>
      <c r="G888" s="94" t="n"/>
      <c r="H888" s="93" t="n"/>
      <c r="I888" s="93" t="n"/>
      <c r="J888" s="93" t="n"/>
      <c r="K888" s="93" t="n"/>
      <c r="L888" s="93" t="n"/>
      <c r="M888" s="93" t="n"/>
    </row>
    <row r="889">
      <c r="A889" s="93" t="n"/>
      <c r="B889" s="93" t="n"/>
      <c r="C889" s="93" t="n"/>
      <c r="D889" s="93" t="n"/>
      <c r="E889" s="93" t="n"/>
      <c r="F889" s="93" t="n"/>
      <c r="G889" s="94" t="n"/>
      <c r="H889" s="93" t="n"/>
      <c r="I889" s="93" t="n"/>
      <c r="J889" s="93" t="n"/>
      <c r="K889" s="93" t="n"/>
      <c r="L889" s="93" t="n"/>
      <c r="M889" s="93" t="n"/>
    </row>
    <row r="890">
      <c r="A890" s="111" t="n"/>
      <c r="B890" s="111" t="n"/>
      <c r="C890" s="111" t="n"/>
      <c r="D890" s="111" t="n"/>
      <c r="E890" s="111" t="n"/>
      <c r="F890" s="111" t="n"/>
      <c r="G890" s="112" t="n"/>
      <c r="H890" s="111" t="n"/>
      <c r="I890" s="111" t="n"/>
      <c r="J890" s="111" t="n"/>
      <c r="K890" s="111" t="n"/>
      <c r="L890" s="111" t="n"/>
      <c r="M890" s="111" t="n"/>
    </row>
    <row r="891">
      <c r="A891" s="96" t="n"/>
      <c r="B891" s="97" t="n"/>
      <c r="C891" s="96" t="n"/>
      <c r="D891" s="97" t="n"/>
      <c r="E891" s="96" t="n"/>
      <c r="F891" s="97" t="n"/>
      <c r="G891" s="94" t="n"/>
      <c r="H891" s="96" t="n"/>
      <c r="I891" s="97" t="n"/>
      <c r="J891" s="96" t="n"/>
      <c r="K891" s="97" t="n"/>
      <c r="L891" s="96" t="n"/>
      <c r="M891" s="97" t="n"/>
    </row>
    <row r="892">
      <c r="A892" s="93" t="n"/>
      <c r="B892" s="93" t="n"/>
      <c r="C892" s="93" t="n"/>
      <c r="D892" s="93" t="n"/>
      <c r="E892" s="93" t="n"/>
      <c r="F892" s="93" t="n"/>
      <c r="G892" s="94" t="n"/>
      <c r="H892" s="93" t="n"/>
      <c r="I892" s="93" t="n"/>
      <c r="J892" s="93" t="n"/>
      <c r="K892" s="93" t="n"/>
      <c r="L892" s="93" t="n"/>
      <c r="M892" s="93" t="n"/>
    </row>
    <row r="893">
      <c r="A893" s="96" t="n"/>
      <c r="B893" s="97" t="n"/>
      <c r="C893" s="96" t="n"/>
      <c r="D893" s="97" t="n"/>
      <c r="E893" s="96" t="n"/>
      <c r="F893" s="97" t="n"/>
      <c r="G893" s="94" t="n"/>
      <c r="H893" s="96" t="n"/>
      <c r="I893" s="97" t="n"/>
      <c r="J893" s="96" t="n"/>
      <c r="K893" s="97" t="n"/>
      <c r="L893" s="96" t="n"/>
      <c r="M893" s="97" t="n"/>
    </row>
    <row r="894">
      <c r="A894" s="93" t="n"/>
      <c r="B894" s="93" t="n"/>
      <c r="C894" s="93" t="n"/>
      <c r="D894" s="93" t="n"/>
      <c r="E894" s="93" t="n"/>
      <c r="F894" s="93" t="n"/>
      <c r="G894" s="94" t="n"/>
      <c r="H894" s="93" t="n"/>
      <c r="I894" s="93" t="n"/>
      <c r="J894" s="93" t="n"/>
      <c r="K894" s="93" t="n"/>
      <c r="L894" s="93" t="n"/>
      <c r="M894" s="93" t="n"/>
    </row>
    <row r="895" ht="15" customHeight="1" s="54" thickBot="1">
      <c r="A895" s="96" t="n"/>
      <c r="B895" s="97" t="n"/>
      <c r="C895" s="96" t="n"/>
      <c r="D895" s="97" t="n"/>
      <c r="E895" s="96" t="n"/>
      <c r="F895" s="97" t="n"/>
      <c r="G895" s="94" t="n"/>
      <c r="H895" s="96" t="n"/>
      <c r="I895" s="97" t="n"/>
      <c r="J895" s="96" t="n"/>
      <c r="K895" s="97" t="n"/>
      <c r="L895" s="96" t="n"/>
      <c r="M895" s="97" t="n"/>
    </row>
    <row r="896" ht="15" customHeight="1" s="54" thickTop="1">
      <c r="A896" s="108" t="n"/>
      <c r="B896" s="108" t="n"/>
      <c r="C896" s="108" t="n"/>
      <c r="D896" s="108" t="n"/>
      <c r="E896" s="108" t="n"/>
      <c r="F896" s="108" t="n"/>
      <c r="G896" s="109" t="n"/>
      <c r="H896" s="108" t="n"/>
      <c r="I896" s="108" t="n"/>
      <c r="J896" s="108" t="n"/>
      <c r="K896" s="108" t="n"/>
      <c r="L896" s="108" t="n"/>
      <c r="M896" s="108" t="n"/>
    </row>
    <row r="897">
      <c r="A897" s="107" t="n"/>
      <c r="B897" s="107" t="n"/>
      <c r="C897" s="107" t="n"/>
      <c r="D897" s="107" t="n"/>
      <c r="E897" s="107" t="n"/>
      <c r="F897" s="90" t="n"/>
      <c r="G897" s="90" t="n"/>
      <c r="H897" s="90" t="n"/>
      <c r="I897" s="90" t="n"/>
      <c r="J897" s="90" t="n"/>
      <c r="K897" s="90" t="n"/>
      <c r="L897" s="90" t="n"/>
      <c r="M897" s="90" t="n"/>
    </row>
    <row r="898">
      <c r="A898" s="90" t="n"/>
      <c r="B898" s="90" t="n"/>
      <c r="C898" s="90" t="n"/>
      <c r="D898" s="90" t="n"/>
      <c r="E898" s="90" t="n"/>
      <c r="F898" s="91" t="n"/>
      <c r="G898" s="91" t="n"/>
      <c r="H898" s="91" t="n"/>
      <c r="I898" s="91" t="n"/>
      <c r="J898" s="90" t="n"/>
      <c r="K898" s="90" t="n"/>
      <c r="L898" s="90" t="n"/>
      <c r="M898" s="90" t="n"/>
    </row>
    <row r="899">
      <c r="A899" s="90" t="n"/>
      <c r="B899" s="90" t="n"/>
      <c r="C899" s="90" t="n"/>
      <c r="D899" s="90" t="n"/>
      <c r="E899" s="90" t="n"/>
      <c r="F899" s="91" t="n"/>
      <c r="G899" s="91" t="n"/>
      <c r="H899" s="91" t="n"/>
      <c r="I899" s="91" t="n"/>
      <c r="J899" s="90" t="n"/>
      <c r="K899" s="90" t="n"/>
      <c r="L899" s="90" t="n"/>
      <c r="M899" s="90" t="n"/>
    </row>
    <row r="900">
      <c r="A900" s="90" t="n"/>
      <c r="B900" s="90" t="n"/>
      <c r="C900" s="90" t="n"/>
      <c r="D900" s="90" t="n"/>
      <c r="E900" s="90" t="n"/>
      <c r="F900" s="91" t="n"/>
      <c r="G900" s="91" t="n"/>
      <c r="H900" s="91" t="n"/>
      <c r="I900" s="91" t="n"/>
      <c r="J900" s="90" t="n"/>
      <c r="K900" s="90" t="n"/>
      <c r="L900" s="90" t="n"/>
      <c r="M900" s="90" t="n"/>
    </row>
    <row r="901">
      <c r="A901" s="92" t="n"/>
      <c r="B901" s="92" t="n"/>
      <c r="C901" s="92" t="n"/>
      <c r="D901" s="92" t="n"/>
      <c r="E901" s="92" t="n"/>
      <c r="F901" s="92" t="n"/>
      <c r="H901" s="92" t="n"/>
      <c r="I901" s="92" t="n"/>
      <c r="J901" s="92" t="n"/>
      <c r="K901" s="92" t="n"/>
      <c r="L901" s="92" t="n"/>
      <c r="M901" s="92" t="n"/>
    </row>
    <row r="902">
      <c r="A902" s="93" t="n"/>
      <c r="B902" s="93" t="n"/>
      <c r="C902" s="93" t="n"/>
      <c r="D902" s="93" t="n"/>
      <c r="E902" s="93" t="n"/>
      <c r="F902" s="93" t="n"/>
      <c r="G902" s="94" t="n"/>
      <c r="H902" s="93" t="n"/>
      <c r="I902" s="93" t="n"/>
      <c r="J902" s="93" t="n"/>
      <c r="K902" s="93" t="n"/>
      <c r="L902" s="93" t="n"/>
      <c r="M902" s="93" t="n"/>
    </row>
    <row r="903">
      <c r="A903" s="93" t="n"/>
      <c r="B903" s="93" t="n"/>
      <c r="C903" s="93" t="n"/>
      <c r="D903" s="93" t="n"/>
      <c r="E903" s="93" t="n"/>
      <c r="F903" s="93" t="n"/>
      <c r="G903" s="94" t="n"/>
      <c r="H903" s="93" t="n"/>
      <c r="I903" s="93" t="n"/>
      <c r="J903" s="93" t="n"/>
      <c r="K903" s="93" t="n"/>
      <c r="L903" s="93" t="n"/>
      <c r="M903" s="93" t="n"/>
    </row>
    <row r="904">
      <c r="A904" s="93" t="n"/>
      <c r="B904" s="93" t="n"/>
      <c r="C904" s="93" t="n"/>
      <c r="D904" s="93" t="n"/>
      <c r="E904" s="93" t="n"/>
      <c r="F904" s="93" t="n"/>
      <c r="G904" s="94" t="n"/>
      <c r="H904" s="93" t="n"/>
      <c r="I904" s="93" t="n"/>
      <c r="J904" s="93" t="n"/>
      <c r="K904" s="93" t="n"/>
      <c r="L904" s="93" t="n"/>
      <c r="M904" s="93" t="n"/>
    </row>
    <row r="905">
      <c r="A905" s="93" t="n"/>
      <c r="B905" s="93" t="n"/>
      <c r="C905" s="93" t="n"/>
      <c r="D905" s="93" t="n"/>
      <c r="E905" s="93" t="n"/>
      <c r="F905" s="93" t="n"/>
      <c r="G905" s="94" t="n"/>
      <c r="H905" s="93" t="n"/>
      <c r="I905" s="93" t="n"/>
      <c r="J905" s="93" t="n"/>
      <c r="K905" s="93" t="n"/>
      <c r="L905" s="93" t="n"/>
      <c r="M905" s="93" t="n"/>
    </row>
    <row r="906">
      <c r="A906" s="99" t="n"/>
      <c r="B906" s="100" t="n"/>
      <c r="C906" s="99" t="n"/>
      <c r="D906" s="100" t="n"/>
      <c r="E906" s="99" t="n"/>
      <c r="F906" s="100" t="n"/>
      <c r="G906" s="101" t="n"/>
      <c r="H906" s="99" t="n"/>
      <c r="I906" s="100" t="n"/>
      <c r="J906" s="99" t="n"/>
      <c r="K906" s="100" t="n"/>
      <c r="L906" s="99" t="n"/>
      <c r="M906" s="100" t="n"/>
    </row>
    <row r="907">
      <c r="A907" s="106" t="n"/>
      <c r="B907" s="106" t="n"/>
      <c r="C907" s="106" t="n"/>
      <c r="D907" s="106" t="n"/>
      <c r="E907" s="106" t="n"/>
      <c r="F907" s="106" t="n"/>
      <c r="G907" s="101" t="n"/>
      <c r="H907" s="106" t="n"/>
      <c r="I907" s="106" t="n"/>
      <c r="J907" s="106" t="n"/>
      <c r="K907" s="106" t="n"/>
      <c r="L907" s="106" t="n"/>
      <c r="M907" s="106" t="n"/>
    </row>
    <row r="908">
      <c r="A908" s="93" t="n"/>
      <c r="B908" s="93" t="n"/>
      <c r="C908" s="93" t="n"/>
      <c r="D908" s="93" t="n"/>
      <c r="E908" s="93" t="n"/>
      <c r="F908" s="93" t="n"/>
      <c r="G908" s="94" t="n"/>
      <c r="H908" s="93" t="n"/>
      <c r="I908" s="93" t="n"/>
      <c r="J908" s="93" t="n"/>
      <c r="K908" s="93" t="n"/>
      <c r="L908" s="93" t="n"/>
      <c r="M908" s="93" t="n"/>
    </row>
    <row r="909">
      <c r="A909" s="99" t="n"/>
      <c r="B909" s="100" t="n"/>
      <c r="C909" s="99" t="n"/>
      <c r="D909" s="100" t="n"/>
      <c r="E909" s="99" t="n"/>
      <c r="F909" s="100" t="n"/>
      <c r="G909" s="101" t="n"/>
      <c r="H909" s="99" t="n"/>
      <c r="I909" s="100" t="n"/>
      <c r="J909" s="99" t="n"/>
      <c r="K909" s="100" t="n"/>
      <c r="L909" s="99" t="n"/>
      <c r="M909" s="100" t="n"/>
    </row>
    <row r="910">
      <c r="A910" s="102" t="n"/>
      <c r="B910" s="100" t="n"/>
      <c r="C910" s="102" t="n"/>
      <c r="D910" s="100" t="n"/>
      <c r="E910" s="102" t="n"/>
      <c r="F910" s="100" t="n"/>
      <c r="G910" s="101" t="n"/>
      <c r="H910" s="102" t="n"/>
      <c r="I910" s="100" t="n"/>
      <c r="J910" s="102" t="n"/>
      <c r="K910" s="100" t="n"/>
      <c r="L910" s="102" t="n"/>
      <c r="M910" s="100" t="n"/>
    </row>
    <row r="911">
      <c r="A911" s="102" t="n"/>
      <c r="B911" s="100" t="n"/>
      <c r="C911" s="102" t="n"/>
      <c r="D911" s="100" t="n"/>
      <c r="E911" s="102" t="n"/>
      <c r="F911" s="100" t="n"/>
      <c r="G911" s="101" t="n"/>
      <c r="H911" s="102" t="n"/>
      <c r="I911" s="100" t="n"/>
      <c r="J911" s="102" t="n"/>
      <c r="K911" s="100" t="n"/>
      <c r="L911" s="102" t="n"/>
      <c r="M911" s="100" t="n"/>
    </row>
    <row r="912">
      <c r="A912" s="95" t="n"/>
      <c r="B912" s="97" t="n"/>
      <c r="C912" s="95" t="n"/>
      <c r="D912" s="97" t="n"/>
      <c r="E912" s="95" t="n"/>
      <c r="F912" s="97" t="n"/>
      <c r="G912" s="94" t="n"/>
      <c r="H912" s="95" t="n"/>
      <c r="I912" s="97" t="n"/>
      <c r="J912" s="95" t="n"/>
      <c r="K912" s="97" t="n"/>
      <c r="L912" s="95" t="n"/>
      <c r="M912" s="97" t="n"/>
    </row>
    <row r="913">
      <c r="A913" s="93" t="n"/>
      <c r="B913" s="93" t="n"/>
      <c r="C913" s="93" t="n"/>
      <c r="D913" s="93" t="n"/>
      <c r="E913" s="93" t="n"/>
      <c r="F913" s="93" t="n"/>
      <c r="G913" s="94" t="n"/>
      <c r="H913" s="93" t="n"/>
      <c r="I913" s="93" t="n"/>
      <c r="J913" s="93" t="n"/>
      <c r="K913" s="93" t="n"/>
      <c r="L913" s="93" t="n"/>
      <c r="M913" s="93" t="n"/>
    </row>
    <row r="914">
      <c r="A914" s="93" t="n"/>
      <c r="B914" s="93" t="n"/>
      <c r="C914" s="93" t="n"/>
      <c r="D914" s="93" t="n"/>
      <c r="E914" s="93" t="n"/>
      <c r="F914" s="93" t="n"/>
      <c r="G914" s="94" t="n"/>
      <c r="H914" s="93" t="n"/>
      <c r="I914" s="93" t="n"/>
      <c r="J914" s="93" t="n"/>
      <c r="K914" s="93" t="n"/>
      <c r="L914" s="93" t="n"/>
      <c r="M914" s="93" t="n"/>
    </row>
    <row r="915">
      <c r="A915" s="99" t="n"/>
      <c r="B915" s="100" t="n"/>
      <c r="C915" s="99" t="n"/>
      <c r="D915" s="100" t="n"/>
      <c r="E915" s="114" t="n"/>
      <c r="F915" s="100" t="n"/>
      <c r="G915" s="101" t="n"/>
      <c r="H915" s="99" t="n"/>
      <c r="I915" s="100" t="n"/>
      <c r="J915" s="99" t="n"/>
      <c r="K915" s="100" t="n"/>
      <c r="L915" s="114" t="n"/>
      <c r="M915" s="100" t="n"/>
    </row>
    <row r="916">
      <c r="A916" s="102" t="n"/>
      <c r="B916" s="100" t="n"/>
      <c r="C916" s="102" t="n"/>
      <c r="D916" s="100" t="n"/>
      <c r="E916" s="102" t="n"/>
      <c r="F916" s="100" t="n"/>
      <c r="G916" s="101" t="n"/>
      <c r="H916" s="102" t="n"/>
      <c r="I916" s="100" t="n"/>
      <c r="J916" s="102" t="n"/>
      <c r="K916" s="100" t="n"/>
      <c r="L916" s="102" t="n"/>
      <c r="M916" s="100" t="n"/>
    </row>
    <row r="917">
      <c r="A917" s="99" t="n"/>
      <c r="B917" s="100" t="n"/>
      <c r="C917" s="99" t="n"/>
      <c r="D917" s="100" t="n"/>
      <c r="E917" s="99" t="n"/>
      <c r="F917" s="100" t="n"/>
      <c r="G917" s="101" t="n"/>
      <c r="H917" s="99" t="n"/>
      <c r="I917" s="100" t="n"/>
      <c r="J917" s="99" t="n"/>
      <c r="K917" s="100" t="n"/>
      <c r="L917" s="99" t="n"/>
      <c r="M917" s="100" t="n"/>
    </row>
    <row r="918">
      <c r="A918" s="95" t="n"/>
      <c r="B918" s="97" t="n"/>
      <c r="C918" s="95" t="n"/>
      <c r="D918" s="97" t="n"/>
      <c r="E918" s="95" t="n"/>
      <c r="F918" s="97" t="n"/>
      <c r="G918" s="94" t="n"/>
      <c r="H918" s="95" t="n"/>
      <c r="I918" s="97" t="n"/>
      <c r="J918" s="95" t="n"/>
      <c r="K918" s="97" t="n"/>
      <c r="L918" s="95" t="n"/>
      <c r="M918" s="97" t="n"/>
    </row>
    <row r="919">
      <c r="A919" s="93" t="n"/>
      <c r="B919" s="93" t="n"/>
      <c r="C919" s="93" t="n"/>
      <c r="D919" s="93" t="n"/>
      <c r="E919" s="93" t="n"/>
      <c r="F919" s="93" t="n"/>
      <c r="G919" s="94" t="n"/>
      <c r="H919" s="93" t="n"/>
      <c r="I919" s="93" t="n"/>
      <c r="J919" s="93" t="n"/>
      <c r="K919" s="93" t="n"/>
      <c r="L919" s="93" t="n"/>
      <c r="M919" s="93" t="n"/>
    </row>
    <row r="920">
      <c r="A920" s="95" t="n"/>
      <c r="B920" s="97" t="n"/>
      <c r="C920" s="95" t="n"/>
      <c r="D920" s="97" t="n"/>
      <c r="E920" s="95" t="n"/>
      <c r="F920" s="97" t="n"/>
      <c r="G920" s="94" t="n"/>
      <c r="H920" s="95" t="n"/>
      <c r="I920" s="97" t="n"/>
      <c r="J920" s="95" t="n"/>
      <c r="K920" s="97" t="n"/>
      <c r="L920" s="95" t="n"/>
      <c r="M920" s="97" t="n"/>
    </row>
    <row r="921">
      <c r="A921" s="93" t="n"/>
      <c r="B921" s="93" t="n"/>
      <c r="C921" s="93" t="n"/>
      <c r="D921" s="93" t="n"/>
      <c r="E921" s="93" t="n"/>
      <c r="F921" s="93" t="n"/>
      <c r="G921" s="94" t="n"/>
      <c r="H921" s="93" t="n"/>
      <c r="I921" s="93" t="n"/>
      <c r="J921" s="93" t="n"/>
      <c r="K921" s="93" t="n"/>
      <c r="L921" s="93" t="n"/>
      <c r="M921" s="93" t="n"/>
    </row>
    <row r="922">
      <c r="A922" s="93" t="n"/>
      <c r="B922" s="93" t="n"/>
      <c r="C922" s="93" t="n"/>
      <c r="D922" s="93" t="n"/>
      <c r="E922" s="93" t="n"/>
      <c r="F922" s="93" t="n"/>
      <c r="G922" s="94" t="n"/>
      <c r="H922" s="93" t="n"/>
      <c r="I922" s="93" t="n"/>
      <c r="J922" s="93" t="n"/>
      <c r="K922" s="93" t="n"/>
      <c r="L922" s="93" t="n"/>
      <c r="M922" s="93" t="n"/>
    </row>
    <row r="923">
      <c r="A923" s="99" t="n"/>
      <c r="B923" s="100" t="n"/>
      <c r="C923" s="99" t="n"/>
      <c r="D923" s="100" t="n"/>
      <c r="E923" s="99" t="n"/>
      <c r="F923" s="100" t="n"/>
      <c r="G923" s="101" t="n"/>
      <c r="H923" s="99" t="n"/>
      <c r="I923" s="100" t="n"/>
      <c r="J923" s="99" t="n"/>
      <c r="K923" s="100" t="n"/>
      <c r="L923" s="99" t="n"/>
      <c r="M923" s="100" t="n"/>
    </row>
    <row r="924">
      <c r="A924" s="102" t="n"/>
      <c r="B924" s="100" t="n"/>
      <c r="C924" s="102" t="n"/>
      <c r="D924" s="100" t="n"/>
      <c r="E924" s="102" t="n"/>
      <c r="F924" s="100" t="n"/>
      <c r="G924" s="101" t="n"/>
      <c r="H924" s="102" t="n"/>
      <c r="I924" s="100" t="n"/>
      <c r="J924" s="102" t="n"/>
      <c r="K924" s="100" t="n"/>
      <c r="L924" s="102" t="n"/>
      <c r="M924" s="100" t="n"/>
    </row>
    <row r="925">
      <c r="A925" s="102" t="n"/>
      <c r="B925" s="100" t="n"/>
      <c r="C925" s="102" t="n"/>
      <c r="D925" s="100" t="n"/>
      <c r="E925" s="102" t="n"/>
      <c r="F925" s="100" t="n"/>
      <c r="G925" s="101" t="n"/>
      <c r="H925" s="102" t="n"/>
      <c r="I925" s="100" t="n"/>
      <c r="J925" s="102" t="n"/>
      <c r="K925" s="100" t="n"/>
      <c r="L925" s="102" t="n"/>
      <c r="M925" s="100" t="n"/>
    </row>
    <row r="926">
      <c r="A926" s="99" t="n"/>
      <c r="B926" s="100" t="n"/>
      <c r="C926" s="99" t="n"/>
      <c r="D926" s="100" t="n"/>
      <c r="E926" s="99" t="n"/>
      <c r="F926" s="100" t="n"/>
      <c r="G926" s="101" t="n"/>
      <c r="H926" s="99" t="n"/>
      <c r="I926" s="100" t="n"/>
      <c r="J926" s="99" t="n"/>
      <c r="K926" s="100" t="n"/>
      <c r="L926" s="99" t="n"/>
      <c r="M926" s="100" t="n"/>
    </row>
    <row r="927">
      <c r="A927" s="99" t="n"/>
      <c r="B927" s="100" t="n"/>
      <c r="C927" s="99" t="n"/>
      <c r="D927" s="100" t="n"/>
      <c r="E927" s="102" t="n"/>
      <c r="F927" s="100" t="n"/>
      <c r="G927" s="101" t="n"/>
      <c r="H927" s="99" t="n"/>
      <c r="I927" s="100" t="n"/>
      <c r="J927" s="99" t="n"/>
      <c r="K927" s="100" t="n"/>
      <c r="L927" s="102" t="n"/>
      <c r="M927" s="100" t="n"/>
    </row>
    <row r="928">
      <c r="A928" s="99" t="n"/>
      <c r="B928" s="100" t="n"/>
      <c r="C928" s="99" t="n"/>
      <c r="D928" s="100" t="n"/>
      <c r="E928" s="102" t="n"/>
      <c r="F928" s="100" t="n"/>
      <c r="G928" s="101" t="n"/>
      <c r="H928" s="99" t="n"/>
      <c r="I928" s="100" t="n"/>
      <c r="J928" s="99" t="n"/>
      <c r="K928" s="100" t="n"/>
      <c r="L928" s="102" t="n"/>
      <c r="M928" s="100" t="n"/>
    </row>
    <row r="929">
      <c r="A929" s="102" t="n"/>
      <c r="B929" s="100" t="n"/>
      <c r="C929" s="102" t="n"/>
      <c r="D929" s="100" t="n"/>
      <c r="E929" s="102" t="n"/>
      <c r="F929" s="100" t="n"/>
      <c r="G929" s="101" t="n"/>
      <c r="H929" s="102" t="n"/>
      <c r="I929" s="100" t="n"/>
      <c r="J929" s="102" t="n"/>
      <c r="K929" s="100" t="n"/>
      <c r="L929" s="102" t="n"/>
      <c r="M929" s="100" t="n"/>
    </row>
    <row r="930">
      <c r="A930" s="102" t="n"/>
      <c r="B930" s="100" t="n"/>
      <c r="C930" s="102" t="n"/>
      <c r="D930" s="100" t="n"/>
      <c r="E930" s="99" t="n"/>
      <c r="F930" s="100" t="n"/>
      <c r="G930" s="101" t="n"/>
      <c r="H930" s="102" t="n"/>
      <c r="I930" s="100" t="n"/>
      <c r="J930" s="102" t="n"/>
      <c r="K930" s="100" t="n"/>
      <c r="L930" s="99" t="n"/>
      <c r="M930" s="100" t="n"/>
    </row>
    <row r="931">
      <c r="A931" s="99" t="n"/>
      <c r="B931" s="100" t="n"/>
      <c r="C931" s="99" t="n"/>
      <c r="D931" s="100" t="n"/>
      <c r="E931" s="99" t="n"/>
      <c r="F931" s="100" t="n"/>
      <c r="G931" s="101" t="n"/>
      <c r="H931" s="99" t="n"/>
      <c r="I931" s="100" t="n"/>
      <c r="J931" s="99" t="n"/>
      <c r="K931" s="100" t="n"/>
      <c r="L931" s="99" t="n"/>
      <c r="M931" s="100" t="n"/>
    </row>
    <row r="932">
      <c r="A932" s="102" t="n"/>
      <c r="B932" s="100" t="n"/>
      <c r="C932" s="102" t="n"/>
      <c r="D932" s="100" t="n"/>
      <c r="E932" s="102" t="n"/>
      <c r="F932" s="100" t="n"/>
      <c r="G932" s="101" t="n"/>
      <c r="H932" s="102" t="n"/>
      <c r="I932" s="100" t="n"/>
      <c r="J932" s="102" t="n"/>
      <c r="K932" s="100" t="n"/>
      <c r="L932" s="102" t="n"/>
      <c r="M932" s="100" t="n"/>
    </row>
    <row r="933">
      <c r="A933" s="102" t="n"/>
      <c r="B933" s="100" t="n"/>
      <c r="C933" s="102" t="n"/>
      <c r="D933" s="100" t="n"/>
      <c r="E933" s="102" t="n"/>
      <c r="F933" s="100" t="n"/>
      <c r="G933" s="101" t="n"/>
      <c r="H933" s="102" t="n"/>
      <c r="I933" s="100" t="n"/>
      <c r="J933" s="102" t="n"/>
      <c r="K933" s="100" t="n"/>
      <c r="L933" s="102" t="n"/>
      <c r="M933" s="100" t="n"/>
    </row>
    <row r="934">
      <c r="A934" s="102" t="n"/>
      <c r="B934" s="100" t="n"/>
      <c r="C934" s="102" t="n"/>
      <c r="D934" s="100" t="n"/>
      <c r="E934" s="102" t="n"/>
      <c r="F934" s="100" t="n"/>
      <c r="G934" s="101" t="n"/>
      <c r="H934" s="102" t="n"/>
      <c r="I934" s="100" t="n"/>
      <c r="J934" s="102" t="n"/>
      <c r="K934" s="100" t="n"/>
      <c r="L934" s="102" t="n"/>
      <c r="M934" s="100" t="n"/>
    </row>
    <row r="935">
      <c r="A935" s="102" t="n"/>
      <c r="B935" s="100" t="n"/>
      <c r="C935" s="102" t="n"/>
      <c r="D935" s="100" t="n"/>
      <c r="E935" s="102" t="n"/>
      <c r="F935" s="100" t="n"/>
      <c r="G935" s="101" t="n"/>
      <c r="H935" s="102" t="n"/>
      <c r="I935" s="100" t="n"/>
      <c r="J935" s="102" t="n"/>
      <c r="K935" s="100" t="n"/>
      <c r="L935" s="102" t="n"/>
      <c r="M935" s="100" t="n"/>
    </row>
    <row r="936">
      <c r="A936" s="99" t="n"/>
      <c r="B936" s="100" t="n"/>
      <c r="C936" s="99" t="n"/>
      <c r="D936" s="100" t="n"/>
      <c r="E936" s="102" t="n"/>
      <c r="F936" s="100" t="n"/>
      <c r="G936" s="101" t="n"/>
      <c r="H936" s="99" t="n"/>
      <c r="I936" s="100" t="n"/>
      <c r="J936" s="99" t="n"/>
      <c r="K936" s="100" t="n"/>
      <c r="L936" s="102" t="n"/>
      <c r="M936" s="100" t="n"/>
    </row>
    <row r="937">
      <c r="A937" s="102" t="n"/>
      <c r="B937" s="100" t="n"/>
      <c r="C937" s="102" t="n"/>
      <c r="D937" s="100" t="n"/>
      <c r="E937" s="102" t="n"/>
      <c r="F937" s="100" t="n"/>
      <c r="G937" s="101" t="n"/>
      <c r="H937" s="102" t="n"/>
      <c r="I937" s="100" t="n"/>
      <c r="J937" s="102" t="n"/>
      <c r="K937" s="100" t="n"/>
      <c r="L937" s="102" t="n"/>
      <c r="M937" s="100" t="n"/>
    </row>
    <row r="938">
      <c r="A938" s="102" t="n"/>
      <c r="B938" s="100" t="n"/>
      <c r="C938" s="102" t="n"/>
      <c r="D938" s="100" t="n"/>
      <c r="E938" s="102" t="n"/>
      <c r="F938" s="100" t="n"/>
      <c r="G938" s="101" t="n"/>
      <c r="H938" s="102" t="n"/>
      <c r="I938" s="100" t="n"/>
      <c r="J938" s="102" t="n"/>
      <c r="K938" s="100" t="n"/>
      <c r="L938" s="102" t="n"/>
      <c r="M938" s="100" t="n"/>
    </row>
    <row r="939">
      <c r="A939" s="103" t="n"/>
      <c r="B939" s="103" t="n"/>
      <c r="C939" s="103" t="n"/>
      <c r="D939" s="103" t="n"/>
      <c r="E939" s="103" t="n"/>
      <c r="F939" s="103" t="n"/>
      <c r="G939" s="104" t="n"/>
      <c r="H939" s="103" t="n"/>
      <c r="I939" s="103" t="n"/>
      <c r="J939" s="103" t="n"/>
      <c r="K939" s="103" t="n"/>
      <c r="L939" s="103" t="n"/>
      <c r="M939" s="103" t="n"/>
    </row>
    <row r="940">
      <c r="A940" s="95" t="n"/>
      <c r="B940" s="97" t="n"/>
      <c r="C940" s="95" t="n"/>
      <c r="D940" s="97" t="n"/>
      <c r="E940" s="95" t="n"/>
      <c r="F940" s="97" t="n"/>
      <c r="G940" s="94" t="n"/>
      <c r="H940" s="95" t="n"/>
      <c r="I940" s="97" t="n"/>
      <c r="J940" s="95" t="n"/>
      <c r="K940" s="97" t="n"/>
      <c r="L940" s="95" t="n"/>
      <c r="M940" s="97" t="n"/>
    </row>
    <row r="941">
      <c r="A941" s="93" t="n"/>
      <c r="B941" s="93" t="n"/>
      <c r="C941" s="93" t="n"/>
      <c r="D941" s="93" t="n"/>
      <c r="E941" s="93" t="n"/>
      <c r="F941" s="93" t="n"/>
      <c r="G941" s="94" t="n"/>
      <c r="H941" s="93" t="n"/>
      <c r="I941" s="93" t="n"/>
      <c r="J941" s="93" t="n"/>
      <c r="K941" s="93" t="n"/>
      <c r="L941" s="93" t="n"/>
      <c r="M941" s="93" t="n"/>
    </row>
    <row r="942" ht="15" customHeight="1" s="54" thickBot="1">
      <c r="A942" s="95" t="n"/>
      <c r="B942" s="97" t="n"/>
      <c r="C942" s="95" t="n"/>
      <c r="D942" s="97" t="n"/>
      <c r="E942" s="95" t="n"/>
      <c r="F942" s="97" t="n"/>
      <c r="G942" s="94" t="n"/>
      <c r="H942" s="95" t="n"/>
      <c r="I942" s="97" t="n"/>
      <c r="J942" s="95" t="n"/>
      <c r="K942" s="97" t="n"/>
      <c r="L942" s="95" t="n"/>
      <c r="M942" s="97" t="n"/>
    </row>
    <row r="943" ht="15" customHeight="1" s="54" thickTop="1">
      <c r="A943" s="108" t="n"/>
      <c r="B943" s="108" t="n"/>
      <c r="C943" s="108" t="n"/>
      <c r="D943" s="108" t="n"/>
      <c r="E943" s="108" t="n"/>
      <c r="F943" s="108" t="n"/>
      <c r="G943" s="109" t="n"/>
      <c r="H943" s="108" t="n"/>
      <c r="I943" s="108" t="n"/>
      <c r="J943" s="108" t="n"/>
      <c r="K943" s="108" t="n"/>
      <c r="L943" s="108" t="n"/>
      <c r="M943" s="108" t="n"/>
    </row>
    <row r="944">
      <c r="A944" s="107" t="n"/>
      <c r="B944" s="107" t="n"/>
      <c r="C944" s="107" t="n"/>
      <c r="D944" s="107" t="n"/>
      <c r="E944" s="107" t="n"/>
      <c r="F944" s="90" t="n"/>
      <c r="G944" s="90" t="n"/>
      <c r="H944" s="90" t="n"/>
      <c r="I944" s="90" t="n"/>
      <c r="J944" s="90" t="n"/>
      <c r="K944" s="90" t="n"/>
      <c r="L944" s="90" t="n"/>
      <c r="M944" s="90" t="n"/>
    </row>
    <row r="945">
      <c r="A945" s="90" t="n"/>
      <c r="B945" s="90" t="n"/>
      <c r="C945" s="90" t="n"/>
      <c r="D945" s="90" t="n"/>
      <c r="E945" s="90" t="n"/>
      <c r="F945" s="91" t="n"/>
      <c r="G945" s="91" t="n"/>
      <c r="H945" s="91" t="n"/>
      <c r="I945" s="91" t="n"/>
      <c r="J945" s="90" t="n"/>
      <c r="K945" s="90" t="n"/>
      <c r="L945" s="90" t="n"/>
      <c r="M945" s="90" t="n"/>
    </row>
    <row r="946">
      <c r="A946" s="90" t="n"/>
      <c r="B946" s="90" t="n"/>
      <c r="C946" s="90" t="n"/>
      <c r="D946" s="90" t="n"/>
      <c r="E946" s="90" t="n"/>
      <c r="F946" s="91" t="n"/>
      <c r="G946" s="91" t="n"/>
      <c r="H946" s="91" t="n"/>
      <c r="I946" s="91" t="n"/>
      <c r="J946" s="90" t="n"/>
      <c r="K946" s="90" t="n"/>
      <c r="L946" s="90" t="n"/>
      <c r="M946" s="90" t="n"/>
    </row>
    <row r="947">
      <c r="A947" s="90" t="n"/>
      <c r="B947" s="90" t="n"/>
      <c r="C947" s="90" t="n"/>
      <c r="D947" s="90" t="n"/>
      <c r="E947" s="90" t="n"/>
      <c r="F947" s="91" t="n"/>
      <c r="G947" s="91" t="n"/>
      <c r="H947" s="91" t="n"/>
      <c r="I947" s="91" t="n"/>
      <c r="J947" s="90" t="n"/>
      <c r="K947" s="90" t="n"/>
      <c r="L947" s="90" t="n"/>
      <c r="M947" s="90" t="n"/>
    </row>
    <row r="948">
      <c r="A948" s="92" t="n"/>
      <c r="B948" s="92" t="n"/>
      <c r="C948" s="92" t="n"/>
      <c r="D948" s="92" t="n"/>
      <c r="E948" s="92" t="n"/>
      <c r="F948" s="92" t="n"/>
      <c r="H948" s="92" t="n"/>
      <c r="I948" s="92" t="n"/>
      <c r="J948" s="92" t="n"/>
      <c r="K948" s="92" t="n"/>
      <c r="L948" s="92" t="n"/>
      <c r="M948" s="92" t="n"/>
    </row>
    <row r="949">
      <c r="A949" s="93" t="n"/>
      <c r="B949" s="93" t="n"/>
      <c r="C949" s="93" t="n"/>
      <c r="D949" s="93" t="n"/>
      <c r="E949" s="93" t="n"/>
      <c r="F949" s="93" t="n"/>
      <c r="G949" s="94" t="n"/>
      <c r="H949" s="93" t="n"/>
      <c r="I949" s="93" t="n"/>
      <c r="J949" s="93" t="n"/>
      <c r="K949" s="93" t="n"/>
      <c r="L949" s="93" t="n"/>
      <c r="M949" s="93" t="n"/>
    </row>
    <row r="950">
      <c r="A950" s="93" t="n"/>
      <c r="B950" s="93" t="n"/>
      <c r="C950" s="93" t="n"/>
      <c r="D950" s="93" t="n"/>
      <c r="E950" s="93" t="n"/>
      <c r="F950" s="93" t="n"/>
      <c r="G950" s="94" t="n"/>
      <c r="H950" s="93" t="n"/>
      <c r="I950" s="93" t="n"/>
      <c r="J950" s="93" t="n"/>
      <c r="K950" s="93" t="n"/>
      <c r="L950" s="93" t="n"/>
      <c r="M950" s="93" t="n"/>
    </row>
    <row r="951">
      <c r="A951" s="93" t="n"/>
      <c r="B951" s="93" t="n"/>
      <c r="C951" s="93" t="n"/>
      <c r="D951" s="93" t="n"/>
      <c r="E951" s="93" t="n"/>
      <c r="F951" s="93" t="n"/>
      <c r="G951" s="94" t="n"/>
      <c r="H951" s="93" t="n"/>
      <c r="I951" s="93" t="n"/>
      <c r="J951" s="93" t="n"/>
      <c r="K951" s="93" t="n"/>
      <c r="L951" s="93" t="n"/>
      <c r="M951" s="93" t="n"/>
    </row>
    <row r="952">
      <c r="A952" s="102" t="n"/>
      <c r="B952" s="100" t="n"/>
      <c r="C952" s="102" t="n"/>
      <c r="D952" s="100" t="n"/>
      <c r="E952" s="102" t="n"/>
      <c r="F952" s="100" t="n"/>
      <c r="G952" s="101" t="n"/>
      <c r="H952" s="102" t="n"/>
      <c r="I952" s="100" t="n"/>
      <c r="J952" s="102" t="n"/>
      <c r="K952" s="100" t="n"/>
      <c r="L952" s="102" t="n"/>
      <c r="M952" s="100" t="n"/>
    </row>
    <row r="953">
      <c r="A953" s="99" t="n"/>
      <c r="B953" s="100" t="n"/>
      <c r="C953" s="99" t="n"/>
      <c r="D953" s="100" t="n"/>
      <c r="E953" s="99" t="n"/>
      <c r="F953" s="100" t="n"/>
      <c r="G953" s="101" t="n"/>
      <c r="H953" s="99" t="n"/>
      <c r="I953" s="100" t="n"/>
      <c r="J953" s="99" t="n"/>
      <c r="K953" s="100" t="n"/>
      <c r="L953" s="99" t="n"/>
      <c r="M953" s="100" t="n"/>
    </row>
    <row r="954">
      <c r="A954" s="99" t="n"/>
      <c r="B954" s="100" t="n"/>
      <c r="C954" s="99" t="n"/>
      <c r="D954" s="100" t="n"/>
      <c r="E954" s="99" t="n"/>
      <c r="F954" s="100" t="n"/>
      <c r="G954" s="101" t="n"/>
      <c r="H954" s="99" t="n"/>
      <c r="I954" s="100" t="n"/>
      <c r="J954" s="99" t="n"/>
      <c r="K954" s="100" t="n"/>
      <c r="L954" s="99" t="n"/>
      <c r="M954" s="100" t="n"/>
    </row>
    <row r="955">
      <c r="A955" s="102" t="n"/>
      <c r="B955" s="100" t="n"/>
      <c r="C955" s="102" t="n"/>
      <c r="D955" s="100" t="n"/>
      <c r="E955" s="102" t="n"/>
      <c r="F955" s="100" t="n"/>
      <c r="G955" s="101" t="n"/>
      <c r="H955" s="102" t="n"/>
      <c r="I955" s="100" t="n"/>
      <c r="J955" s="102" t="n"/>
      <c r="K955" s="100" t="n"/>
      <c r="L955" s="102" t="n"/>
      <c r="M955" s="100" t="n"/>
    </row>
    <row r="956">
      <c r="A956" s="103" t="n"/>
      <c r="B956" s="103" t="n"/>
      <c r="C956" s="103" t="n"/>
      <c r="D956" s="103" t="n"/>
      <c r="E956" s="103" t="n"/>
      <c r="F956" s="103" t="n"/>
      <c r="G956" s="104" t="n"/>
      <c r="H956" s="103" t="n"/>
      <c r="I956" s="103" t="n"/>
      <c r="J956" s="103" t="n"/>
      <c r="K956" s="103" t="n"/>
      <c r="L956" s="103" t="n"/>
      <c r="M956" s="103" t="n"/>
    </row>
    <row r="957">
      <c r="A957" s="95" t="n"/>
      <c r="B957" s="97" t="n"/>
      <c r="C957" s="95" t="n"/>
      <c r="D957" s="97" t="n"/>
      <c r="E957" s="95" t="n"/>
      <c r="F957" s="97" t="n"/>
      <c r="G957" s="94" t="n"/>
      <c r="H957" s="95" t="n"/>
      <c r="I957" s="97" t="n"/>
      <c r="J957" s="95" t="n"/>
      <c r="K957" s="97" t="n"/>
      <c r="L957" s="95" t="n"/>
      <c r="M957" s="97" t="n"/>
    </row>
    <row r="958">
      <c r="A958" s="93" t="n"/>
      <c r="B958" s="93" t="n"/>
      <c r="C958" s="93" t="n"/>
      <c r="D958" s="93" t="n"/>
      <c r="E958" s="93" t="n"/>
      <c r="F958" s="93" t="n"/>
      <c r="G958" s="94" t="n"/>
      <c r="H958" s="93" t="n"/>
      <c r="I958" s="93" t="n"/>
      <c r="J958" s="93" t="n"/>
      <c r="K958" s="93" t="n"/>
      <c r="L958" s="93" t="n"/>
      <c r="M958" s="93" t="n"/>
    </row>
    <row r="959">
      <c r="A959" s="93" t="n"/>
      <c r="B959" s="93" t="n"/>
      <c r="C959" s="93" t="n"/>
      <c r="D959" s="93" t="n"/>
      <c r="E959" s="93" t="n"/>
      <c r="F959" s="93" t="n"/>
      <c r="G959" s="94" t="n"/>
      <c r="H959" s="93" t="n"/>
      <c r="I959" s="93" t="n"/>
      <c r="J959" s="93" t="n"/>
      <c r="K959" s="93" t="n"/>
      <c r="L959" s="93" t="n"/>
      <c r="M959" s="93" t="n"/>
    </row>
    <row r="960">
      <c r="A960" s="99" t="n"/>
      <c r="B960" s="100" t="n"/>
      <c r="C960" s="99" t="n"/>
      <c r="D960" s="100" t="n"/>
      <c r="E960" s="102" t="n"/>
      <c r="F960" s="100" t="n"/>
      <c r="G960" s="101" t="n"/>
      <c r="H960" s="99" t="n"/>
      <c r="I960" s="100" t="n"/>
      <c r="J960" s="99" t="n"/>
      <c r="K960" s="100" t="n"/>
      <c r="L960" s="102" t="n"/>
      <c r="M960" s="100" t="n"/>
    </row>
    <row r="961">
      <c r="A961" s="95" t="n"/>
      <c r="B961" s="97" t="n"/>
      <c r="C961" s="95" t="n"/>
      <c r="D961" s="97" t="n"/>
      <c r="E961" s="96" t="n"/>
      <c r="F961" s="97" t="n"/>
      <c r="G961" s="94" t="n"/>
      <c r="H961" s="95" t="n"/>
      <c r="I961" s="97" t="n"/>
      <c r="J961" s="95" t="n"/>
      <c r="K961" s="97" t="n"/>
      <c r="L961" s="96" t="n"/>
      <c r="M961" s="97" t="n"/>
    </row>
    <row r="962">
      <c r="A962" s="93" t="n"/>
      <c r="B962" s="93" t="n"/>
      <c r="C962" s="93" t="n"/>
      <c r="D962" s="93" t="n"/>
      <c r="E962" s="93" t="n"/>
      <c r="F962" s="93" t="n"/>
      <c r="G962" s="94" t="n"/>
      <c r="H962" s="93" t="n"/>
      <c r="I962" s="93" t="n"/>
      <c r="J962" s="93" t="n"/>
      <c r="K962" s="93" t="n"/>
      <c r="L962" s="93" t="n"/>
      <c r="M962" s="93" t="n"/>
    </row>
    <row r="963">
      <c r="A963" s="93" t="n"/>
      <c r="B963" s="93" t="n"/>
      <c r="C963" s="93" t="n"/>
      <c r="D963" s="93" t="n"/>
      <c r="E963" s="93" t="n"/>
      <c r="F963" s="93" t="n"/>
      <c r="G963" s="94" t="n"/>
      <c r="H963" s="93" t="n"/>
      <c r="I963" s="93" t="n"/>
      <c r="J963" s="93" t="n"/>
      <c r="K963" s="93" t="n"/>
      <c r="L963" s="93" t="n"/>
      <c r="M963" s="93" t="n"/>
    </row>
    <row r="964">
      <c r="A964" s="102" t="n"/>
      <c r="B964" s="100" t="n"/>
      <c r="C964" s="102" t="n"/>
      <c r="D964" s="100" t="n"/>
      <c r="E964" s="102" t="n"/>
      <c r="F964" s="100" t="n"/>
      <c r="G964" s="101" t="n"/>
      <c r="H964" s="102" t="n"/>
      <c r="I964" s="100" t="n"/>
      <c r="J964" s="102" t="n"/>
      <c r="K964" s="100" t="n"/>
      <c r="L964" s="102" t="n"/>
      <c r="M964" s="100" t="n"/>
    </row>
    <row r="965">
      <c r="A965" s="96" t="n"/>
      <c r="B965" s="97" t="n"/>
      <c r="C965" s="96" t="n"/>
      <c r="D965" s="97" t="n"/>
      <c r="E965" s="96" t="n"/>
      <c r="F965" s="97" t="n"/>
      <c r="G965" s="94" t="n"/>
      <c r="H965" s="96" t="n"/>
      <c r="I965" s="97" t="n"/>
      <c r="J965" s="96" t="n"/>
      <c r="K965" s="97" t="n"/>
      <c r="L965" s="96" t="n"/>
      <c r="M965" s="97" t="n"/>
    </row>
    <row r="966">
      <c r="A966" s="111" t="n"/>
      <c r="B966" s="111" t="n"/>
      <c r="C966" s="111" t="n"/>
      <c r="D966" s="111" t="n"/>
      <c r="E966" s="111" t="n"/>
      <c r="F966" s="111" t="n"/>
      <c r="G966" s="112" t="n"/>
      <c r="H966" s="111" t="n"/>
      <c r="I966" s="111" t="n"/>
      <c r="J966" s="111" t="n"/>
      <c r="K966" s="111" t="n"/>
      <c r="L966" s="111" t="n"/>
      <c r="M966" s="111" t="n"/>
    </row>
    <row r="967">
      <c r="A967" s="95" t="n"/>
      <c r="B967" s="97" t="n"/>
      <c r="C967" s="95" t="n"/>
      <c r="D967" s="97" t="n"/>
      <c r="E967" s="96" t="n"/>
      <c r="F967" s="97" t="n"/>
      <c r="G967" s="94" t="n"/>
      <c r="H967" s="95" t="n"/>
      <c r="I967" s="97" t="n"/>
      <c r="J967" s="95" t="n"/>
      <c r="K967" s="97" t="n"/>
      <c r="L967" s="96" t="n"/>
      <c r="M967" s="97" t="n"/>
    </row>
    <row r="968">
      <c r="A968" s="93" t="n"/>
      <c r="B968" s="93" t="n"/>
      <c r="C968" s="93" t="n"/>
      <c r="D968" s="93" t="n"/>
      <c r="E968" s="93" t="n"/>
      <c r="F968" s="93" t="n"/>
      <c r="G968" s="94" t="n"/>
      <c r="H968" s="93" t="n"/>
      <c r="I968" s="93" t="n"/>
      <c r="J968" s="93" t="n"/>
      <c r="K968" s="93" t="n"/>
      <c r="L968" s="93" t="n"/>
      <c r="M968" s="93" t="n"/>
    </row>
    <row r="969">
      <c r="A969" s="93" t="n"/>
      <c r="B969" s="93" t="n"/>
      <c r="C969" s="93" t="n"/>
      <c r="D969" s="93" t="n"/>
      <c r="E969" s="93" t="n"/>
      <c r="F969" s="93" t="n"/>
      <c r="G969" s="94" t="n"/>
      <c r="H969" s="93" t="n"/>
      <c r="I969" s="93" t="n"/>
      <c r="J969" s="93" t="n"/>
      <c r="K969" s="93" t="n"/>
      <c r="L969" s="93" t="n"/>
      <c r="M969" s="93" t="n"/>
    </row>
    <row r="970">
      <c r="A970" s="99" t="n"/>
      <c r="B970" s="100" t="n"/>
      <c r="C970" s="99" t="n"/>
      <c r="D970" s="100" t="n"/>
      <c r="E970" s="102" t="n"/>
      <c r="F970" s="100" t="n"/>
      <c r="G970" s="101" t="n"/>
      <c r="H970" s="99" t="n"/>
      <c r="I970" s="100" t="n"/>
      <c r="J970" s="99" t="n"/>
      <c r="K970" s="100" t="n"/>
      <c r="L970" s="102" t="n"/>
      <c r="M970" s="100" t="n"/>
    </row>
    <row r="971">
      <c r="A971" s="99" t="n"/>
      <c r="B971" s="100" t="n"/>
      <c r="C971" s="99" t="n"/>
      <c r="D971" s="100" t="n"/>
      <c r="E971" s="99" t="n"/>
      <c r="F971" s="100" t="n"/>
      <c r="G971" s="101" t="n"/>
      <c r="H971" s="99" t="n"/>
      <c r="I971" s="100" t="n"/>
      <c r="J971" s="99" t="n"/>
      <c r="K971" s="100" t="n"/>
      <c r="L971" s="99" t="n"/>
      <c r="M971" s="100" t="n"/>
    </row>
    <row r="972">
      <c r="A972" s="99" t="n"/>
      <c r="B972" s="100" t="n"/>
      <c r="C972" s="99" t="n"/>
      <c r="D972" s="100" t="n"/>
      <c r="E972" s="102" t="n"/>
      <c r="F972" s="100" t="n"/>
      <c r="G972" s="101" t="n"/>
      <c r="H972" s="99" t="n"/>
      <c r="I972" s="100" t="n"/>
      <c r="J972" s="99" t="n"/>
      <c r="K972" s="100" t="n"/>
      <c r="L972" s="102" t="n"/>
      <c r="M972" s="100" t="n"/>
    </row>
    <row r="973">
      <c r="A973" s="99" t="n"/>
      <c r="B973" s="100" t="n"/>
      <c r="C973" s="99" t="n"/>
      <c r="D973" s="100" t="n"/>
      <c r="E973" s="99" t="n"/>
      <c r="F973" s="100" t="n"/>
      <c r="G973" s="101" t="n"/>
      <c r="H973" s="99" t="n"/>
      <c r="I973" s="100" t="n"/>
      <c r="J973" s="99" t="n"/>
      <c r="K973" s="100" t="n"/>
      <c r="L973" s="99" t="n"/>
      <c r="M973" s="100" t="n"/>
    </row>
    <row r="974">
      <c r="A974" s="102" t="n"/>
      <c r="B974" s="100" t="n"/>
      <c r="C974" s="102" t="n"/>
      <c r="D974" s="100" t="n"/>
      <c r="E974" s="99" t="n"/>
      <c r="F974" s="100" t="n"/>
      <c r="G974" s="101" t="n"/>
      <c r="H974" s="102" t="n"/>
      <c r="I974" s="100" t="n"/>
      <c r="J974" s="102" t="n"/>
      <c r="K974" s="100" t="n"/>
      <c r="L974" s="99" t="n"/>
      <c r="M974" s="100" t="n"/>
    </row>
    <row r="975">
      <c r="A975" s="99" t="n"/>
      <c r="B975" s="100" t="n"/>
      <c r="C975" s="99" t="n"/>
      <c r="D975" s="100" t="n"/>
      <c r="E975" s="102" t="n"/>
      <c r="F975" s="100" t="n"/>
      <c r="G975" s="101" t="n"/>
      <c r="H975" s="99" t="n"/>
      <c r="I975" s="100" t="n"/>
      <c r="J975" s="99" t="n"/>
      <c r="K975" s="100" t="n"/>
      <c r="L975" s="102" t="n"/>
      <c r="M975" s="100" t="n"/>
    </row>
    <row r="976">
      <c r="A976" s="102" t="n"/>
      <c r="B976" s="100" t="n"/>
      <c r="C976" s="102" t="n"/>
      <c r="D976" s="100" t="n"/>
      <c r="E976" s="102" t="n"/>
      <c r="F976" s="100" t="n"/>
      <c r="G976" s="101" t="n"/>
      <c r="H976" s="102" t="n"/>
      <c r="I976" s="100" t="n"/>
      <c r="J976" s="102" t="n"/>
      <c r="K976" s="100" t="n"/>
      <c r="L976" s="102" t="n"/>
      <c r="M976" s="100" t="n"/>
    </row>
    <row r="977">
      <c r="A977" s="103" t="n"/>
      <c r="B977" s="103" t="n"/>
      <c r="C977" s="103" t="n"/>
      <c r="D977" s="103" t="n"/>
      <c r="E977" s="103" t="n"/>
      <c r="F977" s="103" t="n"/>
      <c r="G977" s="104" t="n"/>
      <c r="H977" s="103" t="n"/>
      <c r="I977" s="103" t="n"/>
      <c r="J977" s="103" t="n"/>
      <c r="K977" s="103" t="n"/>
      <c r="L977" s="103" t="n"/>
      <c r="M977" s="103" t="n"/>
    </row>
    <row r="978">
      <c r="A978" s="95" t="n"/>
      <c r="B978" s="97" t="n"/>
      <c r="C978" s="95" t="n"/>
      <c r="D978" s="97" t="n"/>
      <c r="E978" s="95" t="n"/>
      <c r="F978" s="97" t="n"/>
      <c r="G978" s="94" t="n"/>
      <c r="H978" s="95" t="n"/>
      <c r="I978" s="97" t="n"/>
      <c r="J978" s="95" t="n"/>
      <c r="K978" s="97" t="n"/>
      <c r="L978" s="95" t="n"/>
      <c r="M978" s="97" t="n"/>
    </row>
    <row r="979">
      <c r="A979" s="93" t="n"/>
      <c r="B979" s="93" t="n"/>
      <c r="C979" s="93" t="n"/>
      <c r="D979" s="93" t="n"/>
      <c r="E979" s="93" t="n"/>
      <c r="F979" s="93" t="n"/>
      <c r="G979" s="94" t="n"/>
      <c r="H979" s="93" t="n"/>
      <c r="I979" s="93" t="n"/>
      <c r="J979" s="93" t="n"/>
      <c r="K979" s="93" t="n"/>
      <c r="L979" s="93" t="n"/>
      <c r="M979" s="93" t="n"/>
    </row>
    <row r="980">
      <c r="A980" s="93" t="n"/>
      <c r="B980" s="93" t="n"/>
      <c r="C980" s="93" t="n"/>
      <c r="D980" s="93" t="n"/>
      <c r="E980" s="93" t="n"/>
      <c r="F980" s="93" t="n"/>
      <c r="G980" s="94" t="n"/>
      <c r="H980" s="93" t="n"/>
      <c r="I980" s="93" t="n"/>
      <c r="J980" s="93" t="n"/>
      <c r="K980" s="93" t="n"/>
      <c r="L980" s="93" t="n"/>
      <c r="M980" s="93" t="n"/>
    </row>
    <row r="981">
      <c r="A981" s="111" t="n"/>
      <c r="B981" s="111" t="n"/>
      <c r="C981" s="111" t="n"/>
      <c r="D981" s="111" t="n"/>
      <c r="E981" s="111" t="n"/>
      <c r="F981" s="111" t="n"/>
      <c r="G981" s="112" t="n"/>
      <c r="H981" s="111" t="n"/>
      <c r="I981" s="111" t="n"/>
      <c r="J981" s="111" t="n"/>
      <c r="K981" s="111" t="n"/>
      <c r="L981" s="111" t="n"/>
      <c r="M981" s="111" t="n"/>
    </row>
    <row r="982">
      <c r="A982" s="96" t="n"/>
      <c r="B982" s="97" t="n"/>
      <c r="C982" s="96" t="n"/>
      <c r="D982" s="97" t="n"/>
      <c r="E982" s="96" t="n"/>
      <c r="F982" s="97" t="n"/>
      <c r="G982" s="94" t="n"/>
      <c r="H982" s="96" t="n"/>
      <c r="I982" s="97" t="n"/>
      <c r="J982" s="96" t="n"/>
      <c r="K982" s="97" t="n"/>
      <c r="L982" s="96" t="n"/>
      <c r="M982" s="97" t="n"/>
    </row>
    <row r="983">
      <c r="A983" s="93" t="n"/>
      <c r="B983" s="93" t="n"/>
      <c r="C983" s="93" t="n"/>
      <c r="D983" s="93" t="n"/>
      <c r="E983" s="93" t="n"/>
      <c r="F983" s="93" t="n"/>
      <c r="G983" s="94" t="n"/>
      <c r="H983" s="93" t="n"/>
      <c r="I983" s="93" t="n"/>
      <c r="J983" s="93" t="n"/>
      <c r="K983" s="93" t="n"/>
      <c r="L983" s="93" t="n"/>
      <c r="M983" s="93" t="n"/>
    </row>
    <row r="984">
      <c r="A984" s="95" t="n"/>
      <c r="B984" s="97" t="n"/>
      <c r="C984" s="95" t="n"/>
      <c r="D984" s="97" t="n"/>
      <c r="E984" s="95" t="n"/>
      <c r="F984" s="97" t="n"/>
      <c r="G984" s="94" t="n"/>
      <c r="H984" s="95" t="n"/>
      <c r="I984" s="97" t="n"/>
      <c r="J984" s="95" t="n"/>
      <c r="K984" s="97" t="n"/>
      <c r="L984" s="95" t="n"/>
      <c r="M984" s="97" t="n"/>
    </row>
    <row r="985">
      <c r="A985" s="93" t="n"/>
      <c r="B985" s="93" t="n"/>
      <c r="C985" s="93" t="n"/>
      <c r="D985" s="93" t="n"/>
      <c r="E985" s="93" t="n"/>
      <c r="F985" s="93" t="n"/>
      <c r="G985" s="94" t="n"/>
      <c r="H985" s="93" t="n"/>
      <c r="I985" s="93" t="n"/>
      <c r="J985" s="93" t="n"/>
      <c r="K985" s="93" t="n"/>
      <c r="L985" s="93" t="n"/>
      <c r="M985" s="93" t="n"/>
    </row>
    <row r="986" ht="15" customHeight="1" s="54" thickBot="1">
      <c r="A986" s="95" t="n"/>
      <c r="B986" s="97" t="n"/>
      <c r="C986" s="95" t="n"/>
      <c r="D986" s="97" t="n"/>
      <c r="E986" s="95" t="n"/>
      <c r="F986" s="97" t="n"/>
      <c r="G986" s="94" t="n"/>
      <c r="H986" s="95" t="n"/>
      <c r="I986" s="97" t="n"/>
      <c r="J986" s="95" t="n"/>
      <c r="K986" s="97" t="n"/>
      <c r="L986" s="95" t="n"/>
      <c r="M986" s="97" t="n"/>
    </row>
    <row r="987" ht="15" customHeight="1" s="54" thickTop="1">
      <c r="A987" s="108" t="n"/>
      <c r="B987" s="108" t="n"/>
      <c r="C987" s="108" t="n"/>
      <c r="D987" s="108" t="n"/>
      <c r="E987" s="108" t="n"/>
      <c r="F987" s="108" t="n"/>
      <c r="G987" s="109" t="n"/>
      <c r="H987" s="108" t="n"/>
      <c r="I987" s="108" t="n"/>
      <c r="J987" s="108" t="n"/>
      <c r="K987" s="108" t="n"/>
      <c r="L987" s="108" t="n"/>
      <c r="M987" s="108" t="n"/>
    </row>
    <row r="988">
      <c r="A988" s="107" t="n"/>
      <c r="B988" s="107" t="n"/>
      <c r="C988" s="107" t="n"/>
      <c r="D988" s="107" t="n"/>
      <c r="E988" s="107" t="n"/>
      <c r="F988" s="90" t="n"/>
      <c r="G988" s="90" t="n"/>
      <c r="H988" s="90" t="n"/>
      <c r="I988" s="90" t="n"/>
      <c r="J988" s="90" t="n"/>
      <c r="K988" s="90" t="n"/>
      <c r="L988" s="90" t="n"/>
      <c r="M988" s="90" t="n"/>
    </row>
    <row r="989">
      <c r="A989" s="90" t="n"/>
      <c r="B989" s="90" t="n"/>
      <c r="C989" s="90" t="n"/>
      <c r="D989" s="90" t="n"/>
      <c r="E989" s="90" t="n"/>
      <c r="F989" s="91" t="n"/>
      <c r="G989" s="91" t="n"/>
      <c r="H989" s="91" t="n"/>
      <c r="I989" s="91" t="n"/>
      <c r="J989" s="90" t="n"/>
      <c r="K989" s="90" t="n"/>
      <c r="L989" s="90" t="n"/>
      <c r="M989" s="90" t="n"/>
    </row>
    <row r="990">
      <c r="A990" s="90" t="n"/>
      <c r="B990" s="90" t="n"/>
      <c r="C990" s="90" t="n"/>
      <c r="D990" s="90" t="n"/>
      <c r="E990" s="90" t="n"/>
      <c r="F990" s="91" t="n"/>
      <c r="G990" s="91" t="n"/>
      <c r="H990" s="91" t="n"/>
      <c r="I990" s="91" t="n"/>
      <c r="J990" s="90" t="n"/>
      <c r="K990" s="90" t="n"/>
      <c r="L990" s="90" t="n"/>
      <c r="M990" s="90" t="n"/>
    </row>
    <row r="991">
      <c r="A991" s="90" t="n"/>
      <c r="B991" s="90" t="n"/>
      <c r="C991" s="90" t="n"/>
      <c r="D991" s="90" t="n"/>
      <c r="E991" s="90" t="n"/>
      <c r="F991" s="91" t="n"/>
      <c r="G991" s="91" t="n"/>
      <c r="H991" s="91" t="n"/>
      <c r="I991" s="91" t="n"/>
      <c r="J991" s="90" t="n"/>
      <c r="K991" s="90" t="n"/>
      <c r="L991" s="90" t="n"/>
      <c r="M991" s="90" t="n"/>
    </row>
    <row r="992">
      <c r="A992" s="92" t="n"/>
      <c r="B992" s="92" t="n"/>
      <c r="C992" s="92" t="n"/>
      <c r="D992" s="92" t="n"/>
      <c r="E992" s="92" t="n"/>
      <c r="F992" s="92" t="n"/>
      <c r="H992" s="92" t="n"/>
      <c r="I992" s="92" t="n"/>
      <c r="J992" s="92" t="n"/>
      <c r="K992" s="92" t="n"/>
      <c r="L992" s="92" t="n"/>
      <c r="M992" s="92" t="n"/>
    </row>
    <row r="993">
      <c r="A993" s="93" t="n"/>
      <c r="B993" s="93" t="n"/>
      <c r="C993" s="93" t="n"/>
      <c r="D993" s="93" t="n"/>
      <c r="E993" s="93" t="n"/>
      <c r="F993" s="93" t="n"/>
      <c r="G993" s="94" t="n"/>
      <c r="H993" s="93" t="n"/>
      <c r="I993" s="93" t="n"/>
      <c r="J993" s="93" t="n"/>
      <c r="K993" s="93" t="n"/>
      <c r="L993" s="93" t="n"/>
      <c r="M993" s="93" t="n"/>
    </row>
    <row r="994">
      <c r="A994" s="93" t="n"/>
      <c r="B994" s="93" t="n"/>
      <c r="C994" s="93" t="n"/>
      <c r="D994" s="93" t="n"/>
      <c r="E994" s="93" t="n"/>
      <c r="F994" s="93" t="n"/>
      <c r="G994" s="94" t="n"/>
      <c r="H994" s="93" t="n"/>
      <c r="I994" s="93" t="n"/>
      <c r="J994" s="93" t="n"/>
      <c r="K994" s="93" t="n"/>
      <c r="L994" s="93" t="n"/>
      <c r="M994" s="93" t="n"/>
    </row>
    <row r="995">
      <c r="A995" s="93" t="n"/>
      <c r="B995" s="93" t="n"/>
      <c r="C995" s="93" t="n"/>
      <c r="D995" s="93" t="n"/>
      <c r="E995" s="93" t="n"/>
      <c r="F995" s="93" t="n"/>
      <c r="G995" s="94" t="n"/>
      <c r="H995" s="93" t="n"/>
      <c r="I995" s="93" t="n"/>
      <c r="J995" s="93" t="n"/>
      <c r="K995" s="93" t="n"/>
      <c r="L995" s="93" t="n"/>
      <c r="M995" s="93" t="n"/>
    </row>
    <row r="996">
      <c r="A996" s="93" t="n"/>
      <c r="B996" s="93" t="n"/>
      <c r="C996" s="93" t="n"/>
      <c r="D996" s="93" t="n"/>
      <c r="E996" s="93" t="n"/>
      <c r="F996" s="93" t="n"/>
      <c r="G996" s="94" t="n"/>
      <c r="H996" s="93" t="n"/>
      <c r="I996" s="93" t="n"/>
      <c r="J996" s="93" t="n"/>
      <c r="K996" s="93" t="n"/>
      <c r="L996" s="93" t="n"/>
      <c r="M996" s="93" t="n"/>
    </row>
    <row r="997">
      <c r="A997" s="99" t="n"/>
      <c r="B997" s="100" t="n"/>
      <c r="C997" s="99" t="n"/>
      <c r="D997" s="100" t="n"/>
      <c r="E997" s="102" t="n"/>
      <c r="F997" s="100" t="n"/>
      <c r="G997" s="101" t="n"/>
      <c r="H997" s="99" t="n"/>
      <c r="I997" s="100" t="n"/>
      <c r="J997" s="99" t="n"/>
      <c r="K997" s="100" t="n"/>
      <c r="L997" s="102" t="n"/>
      <c r="M997" s="100" t="n"/>
    </row>
    <row r="998">
      <c r="A998" s="99" t="n"/>
      <c r="B998" s="100" t="n"/>
      <c r="C998" s="99" t="n"/>
      <c r="D998" s="100" t="n"/>
      <c r="E998" s="99" t="n"/>
      <c r="F998" s="100" t="n"/>
      <c r="G998" s="101" t="n"/>
      <c r="H998" s="99" t="n"/>
      <c r="I998" s="100" t="n"/>
      <c r="J998" s="99" t="n"/>
      <c r="K998" s="100" t="n"/>
      <c r="L998" s="99" t="n"/>
      <c r="M998" s="100" t="n"/>
    </row>
    <row r="999">
      <c r="A999" s="106" t="n"/>
      <c r="B999" s="106" t="n"/>
      <c r="C999" s="106" t="n"/>
      <c r="D999" s="106" t="n"/>
      <c r="E999" s="106" t="n"/>
      <c r="F999" s="106" t="n"/>
      <c r="G999" s="101" t="n"/>
      <c r="H999" s="106" t="n"/>
      <c r="I999" s="106" t="n"/>
      <c r="J999" s="106" t="n"/>
      <c r="K999" s="106" t="n"/>
      <c r="L999" s="106" t="n"/>
      <c r="M999" s="106" t="n"/>
    </row>
    <row r="1000">
      <c r="A1000" s="93" t="n"/>
      <c r="B1000" s="93" t="n"/>
      <c r="C1000" s="93" t="n"/>
      <c r="D1000" s="93" t="n"/>
      <c r="E1000" s="93" t="n"/>
      <c r="F1000" s="93" t="n"/>
      <c r="G1000" s="94" t="n"/>
      <c r="H1000" s="93" t="n"/>
      <c r="I1000" s="93" t="n"/>
      <c r="J1000" s="93" t="n"/>
      <c r="K1000" s="93" t="n"/>
      <c r="L1000" s="93" t="n"/>
      <c r="M1000" s="93" t="n"/>
    </row>
    <row r="1001">
      <c r="A1001" s="99" t="n"/>
      <c r="B1001" s="100" t="n"/>
      <c r="C1001" s="99" t="n"/>
      <c r="D1001" s="100" t="n"/>
      <c r="E1001" s="99" t="n"/>
      <c r="F1001" s="100" t="n"/>
      <c r="G1001" s="101" t="n"/>
      <c r="H1001" s="99" t="n"/>
      <c r="I1001" s="100" t="n"/>
      <c r="J1001" s="99" t="n"/>
      <c r="K1001" s="100" t="n"/>
      <c r="L1001" s="99" t="n"/>
      <c r="M1001" s="100" t="n"/>
    </row>
    <row r="1002">
      <c r="A1002" s="99" t="n"/>
      <c r="B1002" s="100" t="n"/>
      <c r="C1002" s="99" t="n"/>
      <c r="D1002" s="100" t="n"/>
      <c r="E1002" s="102" t="n"/>
      <c r="F1002" s="100" t="n"/>
      <c r="G1002" s="101" t="n"/>
      <c r="H1002" s="99" t="n"/>
      <c r="I1002" s="100" t="n"/>
      <c r="J1002" s="99" t="n"/>
      <c r="K1002" s="100" t="n"/>
      <c r="L1002" s="102" t="n"/>
      <c r="M1002" s="100" t="n"/>
    </row>
    <row r="1003">
      <c r="A1003" s="102" t="n"/>
      <c r="B1003" s="100" t="n"/>
      <c r="C1003" s="102" t="n"/>
      <c r="D1003" s="100" t="n"/>
      <c r="E1003" s="102" t="n"/>
      <c r="F1003" s="100" t="n"/>
      <c r="G1003" s="101" t="n"/>
      <c r="H1003" s="102" t="n"/>
      <c r="I1003" s="100" t="n"/>
      <c r="J1003" s="102" t="n"/>
      <c r="K1003" s="100" t="n"/>
      <c r="L1003" s="102" t="n"/>
      <c r="M1003" s="100" t="n"/>
    </row>
    <row r="1004">
      <c r="A1004" s="95" t="n"/>
      <c r="B1004" s="97" t="n"/>
      <c r="C1004" s="95" t="n"/>
      <c r="D1004" s="97" t="n"/>
      <c r="E1004" s="95" t="n"/>
      <c r="F1004" s="97" t="n"/>
      <c r="G1004" s="94" t="n"/>
      <c r="H1004" s="95" t="n"/>
      <c r="I1004" s="97" t="n"/>
      <c r="J1004" s="95" t="n"/>
      <c r="K1004" s="97" t="n"/>
      <c r="L1004" s="95" t="n"/>
      <c r="M1004" s="97" t="n"/>
    </row>
    <row r="1005">
      <c r="A1005" s="93" t="n"/>
      <c r="B1005" s="93" t="n"/>
      <c r="C1005" s="93" t="n"/>
      <c r="D1005" s="93" t="n"/>
      <c r="E1005" s="93" t="n"/>
      <c r="F1005" s="93" t="n"/>
      <c r="G1005" s="94" t="n"/>
      <c r="H1005" s="93" t="n"/>
      <c r="I1005" s="93" t="n"/>
      <c r="J1005" s="93" t="n"/>
      <c r="K1005" s="93" t="n"/>
      <c r="L1005" s="93" t="n"/>
      <c r="M1005" s="93" t="n"/>
    </row>
    <row r="1006">
      <c r="A1006" s="93" t="n"/>
      <c r="B1006" s="93" t="n"/>
      <c r="C1006" s="93" t="n"/>
      <c r="D1006" s="93" t="n"/>
      <c r="E1006" s="93" t="n"/>
      <c r="F1006" s="93" t="n"/>
      <c r="G1006" s="94" t="n"/>
      <c r="H1006" s="93" t="n"/>
      <c r="I1006" s="93" t="n"/>
      <c r="J1006" s="93" t="n"/>
      <c r="K1006" s="93" t="n"/>
      <c r="L1006" s="93" t="n"/>
      <c r="M1006" s="93" t="n"/>
    </row>
    <row r="1007">
      <c r="A1007" s="99" t="n"/>
      <c r="B1007" s="100" t="n"/>
      <c r="C1007" s="99" t="n"/>
      <c r="D1007" s="100" t="n"/>
      <c r="E1007" s="99" t="n"/>
      <c r="F1007" s="100" t="n"/>
      <c r="G1007" s="101" t="n"/>
      <c r="H1007" s="99" t="n"/>
      <c r="I1007" s="100" t="n"/>
      <c r="J1007" s="99" t="n"/>
      <c r="K1007" s="100" t="n"/>
      <c r="L1007" s="99" t="n"/>
      <c r="M1007" s="100" t="n"/>
    </row>
    <row r="1008">
      <c r="A1008" s="95" t="n"/>
      <c r="B1008" s="97" t="n"/>
      <c r="C1008" s="95" t="n"/>
      <c r="D1008" s="97" t="n"/>
      <c r="E1008" s="95" t="n"/>
      <c r="F1008" s="97" t="n"/>
      <c r="G1008" s="94" t="n"/>
      <c r="H1008" s="95" t="n"/>
      <c r="I1008" s="97" t="n"/>
      <c r="J1008" s="95" t="n"/>
      <c r="K1008" s="97" t="n"/>
      <c r="L1008" s="95" t="n"/>
      <c r="M1008" s="97" t="n"/>
    </row>
    <row r="1009">
      <c r="A1009" s="93" t="n"/>
      <c r="B1009" s="93" t="n"/>
      <c r="C1009" s="93" t="n"/>
      <c r="D1009" s="93" t="n"/>
      <c r="E1009" s="93" t="n"/>
      <c r="F1009" s="93" t="n"/>
      <c r="G1009" s="94" t="n"/>
      <c r="H1009" s="93" t="n"/>
      <c r="I1009" s="93" t="n"/>
      <c r="J1009" s="93" t="n"/>
      <c r="K1009" s="93" t="n"/>
      <c r="L1009" s="93" t="n"/>
      <c r="M1009" s="93" t="n"/>
    </row>
    <row r="1010">
      <c r="A1010" s="95" t="n"/>
      <c r="B1010" s="97" t="n"/>
      <c r="C1010" s="95" t="n"/>
      <c r="D1010" s="97" t="n"/>
      <c r="E1010" s="95" t="n"/>
      <c r="F1010" s="97" t="n"/>
      <c r="G1010" s="94" t="n"/>
      <c r="H1010" s="95" t="n"/>
      <c r="I1010" s="97" t="n"/>
      <c r="J1010" s="95" t="n"/>
      <c r="K1010" s="97" t="n"/>
      <c r="L1010" s="95" t="n"/>
      <c r="M1010" s="97" t="n"/>
    </row>
    <row r="1011">
      <c r="A1011" s="93" t="n"/>
      <c r="B1011" s="93" t="n"/>
      <c r="C1011" s="93" t="n"/>
      <c r="D1011" s="93" t="n"/>
      <c r="E1011" s="93" t="n"/>
      <c r="F1011" s="93" t="n"/>
      <c r="G1011" s="94" t="n"/>
      <c r="H1011" s="93" t="n"/>
      <c r="I1011" s="93" t="n"/>
      <c r="J1011" s="93" t="n"/>
      <c r="K1011" s="93" t="n"/>
      <c r="L1011" s="93" t="n"/>
      <c r="M1011" s="93" t="n"/>
    </row>
    <row r="1012">
      <c r="A1012" s="93" t="n"/>
      <c r="B1012" s="93" t="n"/>
      <c r="C1012" s="93" t="n"/>
      <c r="D1012" s="93" t="n"/>
      <c r="E1012" s="93" t="n"/>
      <c r="F1012" s="93" t="n"/>
      <c r="G1012" s="94" t="n"/>
      <c r="H1012" s="93" t="n"/>
      <c r="I1012" s="93" t="n"/>
      <c r="J1012" s="93" t="n"/>
      <c r="K1012" s="93" t="n"/>
      <c r="L1012" s="93" t="n"/>
      <c r="M1012" s="93" t="n"/>
    </row>
    <row r="1013">
      <c r="A1013" s="99" t="n"/>
      <c r="B1013" s="100" t="n"/>
      <c r="C1013" s="99" t="n"/>
      <c r="D1013" s="100" t="n"/>
      <c r="E1013" s="99" t="n"/>
      <c r="F1013" s="100" t="n"/>
      <c r="G1013" s="101" t="n"/>
      <c r="H1013" s="99" t="n"/>
      <c r="I1013" s="100" t="n"/>
      <c r="J1013" s="99" t="n"/>
      <c r="K1013" s="100" t="n"/>
      <c r="L1013" s="99" t="n"/>
      <c r="M1013" s="100" t="n"/>
    </row>
    <row r="1014">
      <c r="A1014" s="102" t="n"/>
      <c r="B1014" s="100" t="n"/>
      <c r="C1014" s="102" t="n"/>
      <c r="D1014" s="100" t="n"/>
      <c r="E1014" s="102" t="n"/>
      <c r="F1014" s="100" t="n"/>
      <c r="G1014" s="101" t="n"/>
      <c r="H1014" s="102" t="n"/>
      <c r="I1014" s="100" t="n"/>
      <c r="J1014" s="102" t="n"/>
      <c r="K1014" s="100" t="n"/>
      <c r="L1014" s="102" t="n"/>
      <c r="M1014" s="100" t="n"/>
    </row>
    <row r="1015">
      <c r="A1015" s="99" t="n"/>
      <c r="B1015" s="100" t="n"/>
      <c r="C1015" s="99" t="n"/>
      <c r="D1015" s="100" t="n"/>
      <c r="E1015" s="102" t="n"/>
      <c r="F1015" s="100" t="n"/>
      <c r="G1015" s="101" t="n"/>
      <c r="H1015" s="99" t="n"/>
      <c r="I1015" s="100" t="n"/>
      <c r="J1015" s="99" t="n"/>
      <c r="K1015" s="100" t="n"/>
      <c r="L1015" s="102" t="n"/>
      <c r="M1015" s="100" t="n"/>
    </row>
    <row r="1016">
      <c r="A1016" s="99" t="n"/>
      <c r="B1016" s="100" t="n"/>
      <c r="C1016" s="99" t="n"/>
      <c r="D1016" s="100" t="n"/>
      <c r="E1016" s="102" t="n"/>
      <c r="F1016" s="100" t="n"/>
      <c r="G1016" s="101" t="n"/>
      <c r="H1016" s="99" t="n"/>
      <c r="I1016" s="100" t="n"/>
      <c r="J1016" s="99" t="n"/>
      <c r="K1016" s="100" t="n"/>
      <c r="L1016" s="102" t="n"/>
      <c r="M1016" s="100" t="n"/>
    </row>
    <row r="1017">
      <c r="A1017" s="99" t="n"/>
      <c r="B1017" s="100" t="n"/>
      <c r="C1017" s="99" t="n"/>
      <c r="D1017" s="100" t="n"/>
      <c r="E1017" s="102" t="n"/>
      <c r="F1017" s="100" t="n"/>
      <c r="G1017" s="101" t="n"/>
      <c r="H1017" s="99" t="n"/>
      <c r="I1017" s="100" t="n"/>
      <c r="J1017" s="99" t="n"/>
      <c r="K1017" s="100" t="n"/>
      <c r="L1017" s="102" t="n"/>
      <c r="M1017" s="100" t="n"/>
    </row>
    <row r="1018">
      <c r="A1018" s="102" t="n"/>
      <c r="B1018" s="100" t="n"/>
      <c r="C1018" s="102" t="n"/>
      <c r="D1018" s="100" t="n"/>
      <c r="E1018" s="102" t="n"/>
      <c r="F1018" s="100" t="n"/>
      <c r="G1018" s="101" t="n"/>
      <c r="H1018" s="102" t="n"/>
      <c r="I1018" s="100" t="n"/>
      <c r="J1018" s="102" t="n"/>
      <c r="K1018" s="100" t="n"/>
      <c r="L1018" s="102" t="n"/>
      <c r="M1018" s="100" t="n"/>
    </row>
    <row r="1019">
      <c r="A1019" s="99" t="n"/>
      <c r="B1019" s="100" t="n"/>
      <c r="C1019" s="99" t="n"/>
      <c r="D1019" s="100" t="n"/>
      <c r="E1019" s="102" t="n"/>
      <c r="F1019" s="100" t="n"/>
      <c r="G1019" s="101" t="n"/>
      <c r="H1019" s="99" t="n"/>
      <c r="I1019" s="100" t="n"/>
      <c r="J1019" s="99" t="n"/>
      <c r="K1019" s="100" t="n"/>
      <c r="L1019" s="102" t="n"/>
      <c r="M1019" s="100" t="n"/>
    </row>
    <row r="1020">
      <c r="A1020" s="102" t="n"/>
      <c r="B1020" s="100" t="n"/>
      <c r="C1020" s="102" t="n"/>
      <c r="D1020" s="100" t="n"/>
      <c r="E1020" s="99" t="n"/>
      <c r="F1020" s="100" t="n"/>
      <c r="G1020" s="101" t="n"/>
      <c r="H1020" s="102" t="n"/>
      <c r="I1020" s="100" t="n"/>
      <c r="J1020" s="102" t="n"/>
      <c r="K1020" s="100" t="n"/>
      <c r="L1020" s="99" t="n"/>
      <c r="M1020" s="100" t="n"/>
    </row>
    <row r="1021">
      <c r="A1021" s="103" t="n"/>
      <c r="B1021" s="103" t="n"/>
      <c r="C1021" s="103" t="n"/>
      <c r="D1021" s="103" t="n"/>
      <c r="E1021" s="103" t="n"/>
      <c r="F1021" s="103" t="n"/>
      <c r="G1021" s="104" t="n"/>
      <c r="H1021" s="103" t="n"/>
      <c r="I1021" s="103" t="n"/>
      <c r="J1021" s="103" t="n"/>
      <c r="K1021" s="103" t="n"/>
      <c r="L1021" s="103" t="n"/>
      <c r="M1021" s="103" t="n"/>
    </row>
    <row r="1022">
      <c r="A1022" s="95" t="n"/>
      <c r="B1022" s="97" t="n"/>
      <c r="C1022" s="95" t="n"/>
      <c r="D1022" s="97" t="n"/>
      <c r="E1022" s="95" t="n"/>
      <c r="F1022" s="97" t="n"/>
      <c r="G1022" s="94" t="n"/>
      <c r="H1022" s="95" t="n"/>
      <c r="I1022" s="97" t="n"/>
      <c r="J1022" s="95" t="n"/>
      <c r="K1022" s="97" t="n"/>
      <c r="L1022" s="95" t="n"/>
      <c r="M1022" s="97" t="n"/>
    </row>
    <row r="1023">
      <c r="A1023" s="93" t="n"/>
      <c r="B1023" s="93" t="n"/>
      <c r="C1023" s="93" t="n"/>
      <c r="D1023" s="93" t="n"/>
      <c r="E1023" s="93" t="n"/>
      <c r="F1023" s="93" t="n"/>
      <c r="G1023" s="94" t="n"/>
      <c r="H1023" s="93" t="n"/>
      <c r="I1023" s="93" t="n"/>
      <c r="J1023" s="93" t="n"/>
      <c r="K1023" s="93" t="n"/>
      <c r="L1023" s="93" t="n"/>
      <c r="M1023" s="93" t="n"/>
    </row>
    <row r="1024" ht="15" customHeight="1" s="54" thickBot="1">
      <c r="A1024" s="95" t="n"/>
      <c r="B1024" s="97" t="n"/>
      <c r="C1024" s="95" t="n"/>
      <c r="D1024" s="97" t="n"/>
      <c r="E1024" s="95" t="n"/>
      <c r="F1024" s="97" t="n"/>
      <c r="G1024" s="94" t="n"/>
      <c r="H1024" s="95" t="n"/>
      <c r="I1024" s="97" t="n"/>
      <c r="J1024" s="95" t="n"/>
      <c r="K1024" s="97" t="n"/>
      <c r="L1024" s="95" t="n"/>
      <c r="M1024" s="97" t="n"/>
    </row>
    <row r="1025" ht="15" customHeight="1" s="54" thickTop="1">
      <c r="A1025" s="108" t="n"/>
      <c r="B1025" s="108" t="n"/>
      <c r="C1025" s="108" t="n"/>
      <c r="D1025" s="108" t="n"/>
      <c r="E1025" s="108" t="n"/>
      <c r="F1025" s="108" t="n"/>
      <c r="G1025" s="109" t="n"/>
      <c r="H1025" s="108" t="n"/>
      <c r="I1025" s="108" t="n"/>
      <c r="J1025" s="108" t="n"/>
      <c r="K1025" s="108" t="n"/>
      <c r="L1025" s="108" t="n"/>
      <c r="M1025" s="108" t="n"/>
    </row>
    <row r="1026">
      <c r="A1026" s="107" t="n"/>
      <c r="B1026" s="107" t="n"/>
      <c r="C1026" s="107" t="n"/>
      <c r="D1026" s="107" t="n"/>
      <c r="E1026" s="107" t="n"/>
      <c r="F1026" s="90" t="n"/>
      <c r="G1026" s="90" t="n"/>
      <c r="H1026" s="90" t="n"/>
      <c r="I1026" s="90" t="n"/>
      <c r="J1026" s="90" t="n"/>
      <c r="K1026" s="90" t="n"/>
      <c r="L1026" s="90" t="n"/>
      <c r="M1026" s="90" t="n"/>
    </row>
    <row r="1027">
      <c r="A1027" s="90" t="n"/>
      <c r="B1027" s="90" t="n"/>
      <c r="C1027" s="90" t="n"/>
      <c r="D1027" s="90" t="n"/>
      <c r="E1027" s="90" t="n"/>
      <c r="F1027" s="91" t="n"/>
      <c r="G1027" s="91" t="n"/>
      <c r="H1027" s="91" t="n"/>
      <c r="I1027" s="91" t="n"/>
      <c r="J1027" s="90" t="n"/>
      <c r="K1027" s="90" t="n"/>
      <c r="L1027" s="90" t="n"/>
      <c r="M1027" s="90" t="n"/>
    </row>
    <row r="1028">
      <c r="A1028" s="90" t="n"/>
      <c r="B1028" s="90" t="n"/>
      <c r="C1028" s="90" t="n"/>
      <c r="D1028" s="90" t="n"/>
      <c r="E1028" s="90" t="n"/>
      <c r="F1028" s="91" t="n"/>
      <c r="G1028" s="91" t="n"/>
      <c r="H1028" s="91" t="n"/>
      <c r="I1028" s="91" t="n"/>
      <c r="J1028" s="90" t="n"/>
      <c r="K1028" s="90" t="n"/>
      <c r="L1028" s="90" t="n"/>
      <c r="M1028" s="90" t="n"/>
    </row>
    <row r="1029">
      <c r="A1029" s="90" t="n"/>
      <c r="B1029" s="90" t="n"/>
      <c r="C1029" s="90" t="n"/>
      <c r="D1029" s="90" t="n"/>
      <c r="E1029" s="90" t="n"/>
      <c r="F1029" s="91" t="n"/>
      <c r="G1029" s="91" t="n"/>
      <c r="H1029" s="91" t="n"/>
      <c r="I1029" s="91" t="n"/>
      <c r="J1029" s="90" t="n"/>
      <c r="K1029" s="90" t="n"/>
      <c r="L1029" s="90" t="n"/>
      <c r="M1029" s="90" t="n"/>
    </row>
    <row r="1030">
      <c r="A1030" s="92" t="n"/>
      <c r="B1030" s="92" t="n"/>
      <c r="C1030" s="92" t="n"/>
      <c r="D1030" s="92" t="n"/>
      <c r="E1030" s="92" t="n"/>
      <c r="F1030" s="92" t="n"/>
      <c r="H1030" s="92" t="n"/>
      <c r="I1030" s="92" t="n"/>
      <c r="J1030" s="92" t="n"/>
      <c r="K1030" s="92" t="n"/>
      <c r="L1030" s="92" t="n"/>
      <c r="M1030" s="92" t="n"/>
    </row>
    <row r="1031">
      <c r="A1031" s="93" t="n"/>
      <c r="B1031" s="93" t="n"/>
      <c r="C1031" s="93" t="n"/>
      <c r="D1031" s="93" t="n"/>
      <c r="E1031" s="93" t="n"/>
      <c r="F1031" s="93" t="n"/>
      <c r="G1031" s="94" t="n"/>
      <c r="H1031" s="93" t="n"/>
      <c r="I1031" s="93" t="n"/>
      <c r="J1031" s="93" t="n"/>
      <c r="K1031" s="93" t="n"/>
      <c r="L1031" s="93" t="n"/>
      <c r="M1031" s="93" t="n"/>
    </row>
    <row r="1032">
      <c r="A1032" s="93" t="n"/>
      <c r="B1032" s="93" t="n"/>
      <c r="C1032" s="93" t="n"/>
      <c r="D1032" s="93" t="n"/>
      <c r="E1032" s="93" t="n"/>
      <c r="F1032" s="93" t="n"/>
      <c r="G1032" s="94" t="n"/>
      <c r="H1032" s="93" t="n"/>
      <c r="I1032" s="93" t="n"/>
      <c r="J1032" s="93" t="n"/>
      <c r="K1032" s="93" t="n"/>
      <c r="L1032" s="93" t="n"/>
      <c r="M1032" s="93" t="n"/>
    </row>
    <row r="1033">
      <c r="A1033" s="93" t="n"/>
      <c r="B1033" s="93" t="n"/>
      <c r="C1033" s="93" t="n"/>
      <c r="D1033" s="93" t="n"/>
      <c r="E1033" s="93" t="n"/>
      <c r="F1033" s="93" t="n"/>
      <c r="G1033" s="94" t="n"/>
      <c r="H1033" s="93" t="n"/>
      <c r="I1033" s="93" t="n"/>
      <c r="J1033" s="93" t="n"/>
      <c r="K1033" s="93" t="n"/>
      <c r="L1033" s="93" t="n"/>
      <c r="M1033" s="93" t="n"/>
    </row>
    <row r="1034">
      <c r="A1034" s="93" t="n"/>
      <c r="B1034" s="93" t="n"/>
      <c r="C1034" s="93" t="n"/>
      <c r="D1034" s="93" t="n"/>
      <c r="E1034" s="93" t="n"/>
      <c r="F1034" s="93" t="n"/>
      <c r="G1034" s="94" t="n"/>
      <c r="H1034" s="93" t="n"/>
      <c r="I1034" s="93" t="n"/>
      <c r="J1034" s="93" t="n"/>
      <c r="K1034" s="93" t="n"/>
      <c r="L1034" s="93" t="n"/>
      <c r="M1034" s="93" t="n"/>
    </row>
    <row r="1035">
      <c r="A1035" s="99" t="n"/>
      <c r="B1035" s="100" t="n"/>
      <c r="C1035" s="99" t="n"/>
      <c r="D1035" s="100" t="n"/>
      <c r="E1035" s="99" t="n"/>
      <c r="F1035" s="100" t="n"/>
      <c r="G1035" s="101" t="n"/>
      <c r="H1035" s="99" t="n"/>
      <c r="I1035" s="100" t="n"/>
      <c r="J1035" s="99" t="n"/>
      <c r="K1035" s="100" t="n"/>
      <c r="L1035" s="99" t="n"/>
      <c r="M1035" s="100" t="n"/>
    </row>
    <row r="1036">
      <c r="A1036" s="106" t="n"/>
      <c r="B1036" s="106" t="n"/>
      <c r="C1036" s="106" t="n"/>
      <c r="D1036" s="106" t="n"/>
      <c r="E1036" s="106" t="n"/>
      <c r="F1036" s="106" t="n"/>
      <c r="G1036" s="101" t="n"/>
      <c r="H1036" s="106" t="n"/>
      <c r="I1036" s="106" t="n"/>
      <c r="J1036" s="106" t="n"/>
      <c r="K1036" s="106" t="n"/>
      <c r="L1036" s="106" t="n"/>
      <c r="M1036" s="106" t="n"/>
    </row>
    <row r="1037">
      <c r="A1037" s="93" t="n"/>
      <c r="B1037" s="93" t="n"/>
      <c r="C1037" s="93" t="n"/>
      <c r="D1037" s="93" t="n"/>
      <c r="E1037" s="93" t="n"/>
      <c r="F1037" s="93" t="n"/>
      <c r="G1037" s="94" t="n"/>
      <c r="H1037" s="93" t="n"/>
      <c r="I1037" s="93" t="n"/>
      <c r="J1037" s="93" t="n"/>
      <c r="K1037" s="93" t="n"/>
      <c r="L1037" s="93" t="n"/>
      <c r="M1037" s="93" t="n"/>
    </row>
    <row r="1038">
      <c r="A1038" s="99" t="n"/>
      <c r="B1038" s="100" t="n"/>
      <c r="C1038" s="99" t="n"/>
      <c r="D1038" s="100" t="n"/>
      <c r="E1038" s="99" t="n"/>
      <c r="F1038" s="100" t="n"/>
      <c r="G1038" s="101" t="n"/>
      <c r="H1038" s="99" t="n"/>
      <c r="I1038" s="100" t="n"/>
      <c r="J1038" s="99" t="n"/>
      <c r="K1038" s="100" t="n"/>
      <c r="L1038" s="99" t="n"/>
      <c r="M1038" s="100" t="n"/>
    </row>
    <row r="1039">
      <c r="A1039" s="102" t="n"/>
      <c r="B1039" s="100" t="n"/>
      <c r="C1039" s="102" t="n"/>
      <c r="D1039" s="100" t="n"/>
      <c r="E1039" s="102" t="n"/>
      <c r="F1039" s="100" t="n"/>
      <c r="G1039" s="101" t="n"/>
      <c r="H1039" s="102" t="n"/>
      <c r="I1039" s="100" t="n"/>
      <c r="J1039" s="102" t="n"/>
      <c r="K1039" s="100" t="n"/>
      <c r="L1039" s="102" t="n"/>
      <c r="M1039" s="100" t="n"/>
    </row>
    <row r="1040">
      <c r="A1040" s="95" t="n"/>
      <c r="B1040" s="97" t="n"/>
      <c r="C1040" s="95" t="n"/>
      <c r="D1040" s="97" t="n"/>
      <c r="E1040" s="95" t="n"/>
      <c r="F1040" s="97" t="n"/>
      <c r="G1040" s="94" t="n"/>
      <c r="H1040" s="95" t="n"/>
      <c r="I1040" s="97" t="n"/>
      <c r="J1040" s="95" t="n"/>
      <c r="K1040" s="97" t="n"/>
      <c r="L1040" s="95" t="n"/>
      <c r="M1040" s="97" t="n"/>
    </row>
    <row r="1041">
      <c r="A1041" s="93" t="n"/>
      <c r="B1041" s="93" t="n"/>
      <c r="C1041" s="93" t="n"/>
      <c r="D1041" s="93" t="n"/>
      <c r="E1041" s="93" t="n"/>
      <c r="F1041" s="93" t="n"/>
      <c r="G1041" s="94" t="n"/>
      <c r="H1041" s="93" t="n"/>
      <c r="I1041" s="93" t="n"/>
      <c r="J1041" s="93" t="n"/>
      <c r="K1041" s="93" t="n"/>
      <c r="L1041" s="93" t="n"/>
      <c r="M1041" s="93" t="n"/>
    </row>
    <row r="1042">
      <c r="A1042" s="93" t="n"/>
      <c r="B1042" s="93" t="n"/>
      <c r="C1042" s="93" t="n"/>
      <c r="D1042" s="93" t="n"/>
      <c r="E1042" s="93" t="n"/>
      <c r="F1042" s="93" t="n"/>
      <c r="G1042" s="94" t="n"/>
      <c r="H1042" s="93" t="n"/>
      <c r="I1042" s="93" t="n"/>
      <c r="J1042" s="93" t="n"/>
      <c r="K1042" s="93" t="n"/>
      <c r="L1042" s="93" t="n"/>
      <c r="M1042" s="93" t="n"/>
    </row>
    <row r="1043">
      <c r="A1043" s="99" t="n"/>
      <c r="B1043" s="100" t="n"/>
      <c r="C1043" s="99" t="n"/>
      <c r="D1043" s="100" t="n"/>
      <c r="E1043" s="99" t="n"/>
      <c r="F1043" s="100" t="n"/>
      <c r="G1043" s="101" t="n"/>
      <c r="H1043" s="99" t="n"/>
      <c r="I1043" s="100" t="n"/>
      <c r="J1043" s="99" t="n"/>
      <c r="K1043" s="100" t="n"/>
      <c r="L1043" s="99" t="n"/>
      <c r="M1043" s="100" t="n"/>
    </row>
    <row r="1044">
      <c r="A1044" s="95" t="n"/>
      <c r="B1044" s="97" t="n"/>
      <c r="C1044" s="95" t="n"/>
      <c r="D1044" s="97" t="n"/>
      <c r="E1044" s="95" t="n"/>
      <c r="F1044" s="97" t="n"/>
      <c r="G1044" s="94" t="n"/>
      <c r="H1044" s="95" t="n"/>
      <c r="I1044" s="97" t="n"/>
      <c r="J1044" s="95" t="n"/>
      <c r="K1044" s="97" t="n"/>
      <c r="L1044" s="95" t="n"/>
      <c r="M1044" s="97" t="n"/>
    </row>
    <row r="1045">
      <c r="A1045" s="93" t="n"/>
      <c r="B1045" s="93" t="n"/>
      <c r="C1045" s="93" t="n"/>
      <c r="D1045" s="93" t="n"/>
      <c r="E1045" s="93" t="n"/>
      <c r="F1045" s="93" t="n"/>
      <c r="G1045" s="94" t="n"/>
      <c r="H1045" s="93" t="n"/>
      <c r="I1045" s="93" t="n"/>
      <c r="J1045" s="93" t="n"/>
      <c r="K1045" s="93" t="n"/>
      <c r="L1045" s="93" t="n"/>
      <c r="M1045" s="93" t="n"/>
    </row>
    <row r="1046">
      <c r="A1046" s="95" t="n"/>
      <c r="B1046" s="97" t="n"/>
      <c r="C1046" s="95" t="n"/>
      <c r="D1046" s="97" t="n"/>
      <c r="E1046" s="95" t="n"/>
      <c r="F1046" s="97" t="n"/>
      <c r="G1046" s="94" t="n"/>
      <c r="H1046" s="95" t="n"/>
      <c r="I1046" s="97" t="n"/>
      <c r="J1046" s="95" t="n"/>
      <c r="K1046" s="97" t="n"/>
      <c r="L1046" s="95" t="n"/>
      <c r="M1046" s="97" t="n"/>
    </row>
    <row r="1047">
      <c r="A1047" s="93" t="n"/>
      <c r="B1047" s="93" t="n"/>
      <c r="C1047" s="93" t="n"/>
      <c r="D1047" s="93" t="n"/>
      <c r="E1047" s="93" t="n"/>
      <c r="F1047" s="93" t="n"/>
      <c r="G1047" s="94" t="n"/>
      <c r="H1047" s="93" t="n"/>
      <c r="I1047" s="93" t="n"/>
      <c r="J1047" s="93" t="n"/>
      <c r="K1047" s="93" t="n"/>
      <c r="L1047" s="93" t="n"/>
      <c r="M1047" s="93" t="n"/>
    </row>
    <row r="1048">
      <c r="A1048" s="93" t="n"/>
      <c r="B1048" s="93" t="n"/>
      <c r="C1048" s="93" t="n"/>
      <c r="D1048" s="93" t="n"/>
      <c r="E1048" s="93" t="n"/>
      <c r="F1048" s="93" t="n"/>
      <c r="G1048" s="94" t="n"/>
      <c r="H1048" s="93" t="n"/>
      <c r="I1048" s="93" t="n"/>
      <c r="J1048" s="93" t="n"/>
      <c r="K1048" s="93" t="n"/>
      <c r="L1048" s="93" t="n"/>
      <c r="M1048" s="93" t="n"/>
    </row>
    <row r="1049">
      <c r="A1049" s="102" t="n"/>
      <c r="B1049" s="100" t="n"/>
      <c r="C1049" s="102" t="n"/>
      <c r="D1049" s="100" t="n"/>
      <c r="E1049" s="99" t="n"/>
      <c r="F1049" s="100" t="n"/>
      <c r="G1049" s="101" t="n"/>
      <c r="H1049" s="102" t="n"/>
      <c r="I1049" s="100" t="n"/>
      <c r="J1049" s="102" t="n"/>
      <c r="K1049" s="100" t="n"/>
      <c r="L1049" s="99" t="n"/>
      <c r="M1049" s="100" t="n"/>
    </row>
    <row r="1050">
      <c r="A1050" s="102" t="n"/>
      <c r="B1050" s="100" t="n"/>
      <c r="C1050" s="102" t="n"/>
      <c r="D1050" s="100" t="n"/>
      <c r="E1050" s="102" t="n"/>
      <c r="F1050" s="100" t="n"/>
      <c r="G1050" s="101" t="n"/>
      <c r="H1050" s="102" t="n"/>
      <c r="I1050" s="100" t="n"/>
      <c r="J1050" s="102" t="n"/>
      <c r="K1050" s="100" t="n"/>
      <c r="L1050" s="102" t="n"/>
      <c r="M1050" s="100" t="n"/>
    </row>
    <row r="1051">
      <c r="A1051" s="99" t="n"/>
      <c r="B1051" s="100" t="n"/>
      <c r="C1051" s="99" t="n"/>
      <c r="D1051" s="100" t="n"/>
      <c r="E1051" s="99" t="n"/>
      <c r="F1051" s="100" t="n"/>
      <c r="G1051" s="101" t="n"/>
      <c r="H1051" s="99" t="n"/>
      <c r="I1051" s="100" t="n"/>
      <c r="J1051" s="99" t="n"/>
      <c r="K1051" s="100" t="n"/>
      <c r="L1051" s="99" t="n"/>
      <c r="M1051" s="100" t="n"/>
    </row>
    <row r="1052">
      <c r="A1052" s="102" t="n"/>
      <c r="B1052" s="100" t="n"/>
      <c r="C1052" s="102" t="n"/>
      <c r="D1052" s="100" t="n"/>
      <c r="E1052" s="102" t="n"/>
      <c r="F1052" s="100" t="n"/>
      <c r="G1052" s="101" t="n"/>
      <c r="H1052" s="102" t="n"/>
      <c r="I1052" s="100" t="n"/>
      <c r="J1052" s="102" t="n"/>
      <c r="K1052" s="100" t="n"/>
      <c r="L1052" s="102" t="n"/>
      <c r="M1052" s="100" t="n"/>
    </row>
    <row r="1053">
      <c r="A1053" s="102" t="n"/>
      <c r="B1053" s="100" t="n"/>
      <c r="C1053" s="102" t="n"/>
      <c r="D1053" s="100" t="n"/>
      <c r="E1053" s="102" t="n"/>
      <c r="F1053" s="100" t="n"/>
      <c r="G1053" s="101" t="n"/>
      <c r="H1053" s="102" t="n"/>
      <c r="I1053" s="100" t="n"/>
      <c r="J1053" s="102" t="n"/>
      <c r="K1053" s="100" t="n"/>
      <c r="L1053" s="102" t="n"/>
      <c r="M1053" s="100" t="n"/>
    </row>
    <row r="1054">
      <c r="A1054" s="102" t="n"/>
      <c r="B1054" s="100" t="n"/>
      <c r="C1054" s="102" t="n"/>
      <c r="D1054" s="100" t="n"/>
      <c r="E1054" s="99" t="n"/>
      <c r="F1054" s="100" t="n"/>
      <c r="G1054" s="101" t="n"/>
      <c r="H1054" s="102" t="n"/>
      <c r="I1054" s="100" t="n"/>
      <c r="J1054" s="102" t="n"/>
      <c r="K1054" s="100" t="n"/>
      <c r="L1054" s="99" t="n"/>
      <c r="M1054" s="100" t="n"/>
    </row>
    <row r="1055">
      <c r="A1055" s="102" t="n"/>
      <c r="B1055" s="100" t="n"/>
      <c r="C1055" s="102" t="n"/>
      <c r="D1055" s="100" t="n"/>
      <c r="E1055" s="99" t="n"/>
      <c r="F1055" s="100" t="n"/>
      <c r="G1055" s="101" t="n"/>
      <c r="H1055" s="102" t="n"/>
      <c r="I1055" s="100" t="n"/>
      <c r="J1055" s="102" t="n"/>
      <c r="K1055" s="100" t="n"/>
      <c r="L1055" s="99" t="n"/>
      <c r="M1055" s="100" t="n"/>
    </row>
    <row r="1056">
      <c r="A1056" s="102" t="n"/>
      <c r="B1056" s="100" t="n"/>
      <c r="C1056" s="102" t="n"/>
      <c r="D1056" s="100" t="n"/>
      <c r="E1056" s="99" t="n"/>
      <c r="F1056" s="100" t="n"/>
      <c r="G1056" s="101" t="n"/>
      <c r="H1056" s="102" t="n"/>
      <c r="I1056" s="100" t="n"/>
      <c r="J1056" s="102" t="n"/>
      <c r="K1056" s="100" t="n"/>
      <c r="L1056" s="99" t="n"/>
      <c r="M1056" s="100" t="n"/>
    </row>
    <row r="1057">
      <c r="A1057" s="102" t="n"/>
      <c r="B1057" s="100" t="n"/>
      <c r="C1057" s="102" t="n"/>
      <c r="D1057" s="100" t="n"/>
      <c r="E1057" s="102" t="n"/>
      <c r="F1057" s="100" t="n"/>
      <c r="G1057" s="101" t="n"/>
      <c r="H1057" s="102" t="n"/>
      <c r="I1057" s="100" t="n"/>
      <c r="J1057" s="102" t="n"/>
      <c r="K1057" s="100" t="n"/>
      <c r="L1057" s="102" t="n"/>
      <c r="M1057" s="100" t="n"/>
    </row>
    <row r="1058">
      <c r="A1058" s="102" t="n"/>
      <c r="B1058" s="100" t="n"/>
      <c r="C1058" s="102" t="n"/>
      <c r="D1058" s="100" t="n"/>
      <c r="E1058" s="102" t="n"/>
      <c r="F1058" s="100" t="n"/>
      <c r="G1058" s="101" t="n"/>
      <c r="H1058" s="102" t="n"/>
      <c r="I1058" s="100" t="n"/>
      <c r="J1058" s="102" t="n"/>
      <c r="K1058" s="100" t="n"/>
      <c r="L1058" s="102" t="n"/>
      <c r="M1058" s="100" t="n"/>
    </row>
    <row r="1059">
      <c r="A1059" s="102" t="n"/>
      <c r="B1059" s="100" t="n"/>
      <c r="C1059" s="102" t="n"/>
      <c r="D1059" s="100" t="n"/>
      <c r="E1059" s="99" t="n"/>
      <c r="F1059" s="100" t="n"/>
      <c r="G1059" s="101" t="n"/>
      <c r="H1059" s="102" t="n"/>
      <c r="I1059" s="100" t="n"/>
      <c r="J1059" s="102" t="n"/>
      <c r="K1059" s="100" t="n"/>
      <c r="L1059" s="99" t="n"/>
      <c r="M1059" s="100" t="n"/>
    </row>
    <row r="1060">
      <c r="A1060" s="102" t="n"/>
      <c r="B1060" s="100" t="n"/>
      <c r="C1060" s="102" t="n"/>
      <c r="D1060" s="100" t="n"/>
      <c r="E1060" s="99" t="n"/>
      <c r="F1060" s="100" t="n"/>
      <c r="G1060" s="101" t="n"/>
      <c r="H1060" s="102" t="n"/>
      <c r="I1060" s="100" t="n"/>
      <c r="J1060" s="102" t="n"/>
      <c r="K1060" s="100" t="n"/>
      <c r="L1060" s="99" t="n"/>
      <c r="M1060" s="100" t="n"/>
    </row>
    <row r="1061">
      <c r="A1061" s="102" t="n"/>
      <c r="B1061" s="100" t="n"/>
      <c r="C1061" s="102" t="n"/>
      <c r="D1061" s="100" t="n"/>
      <c r="E1061" s="99" t="n"/>
      <c r="F1061" s="100" t="n"/>
      <c r="G1061" s="101" t="n"/>
      <c r="H1061" s="102" t="n"/>
      <c r="I1061" s="100" t="n"/>
      <c r="J1061" s="102" t="n"/>
      <c r="K1061" s="100" t="n"/>
      <c r="L1061" s="99" t="n"/>
      <c r="M1061" s="100" t="n"/>
    </row>
    <row r="1062">
      <c r="A1062" s="102" t="n"/>
      <c r="B1062" s="100" t="n"/>
      <c r="C1062" s="102" t="n"/>
      <c r="D1062" s="100" t="n"/>
      <c r="E1062" s="102" t="n"/>
      <c r="F1062" s="100" t="n"/>
      <c r="G1062" s="101" t="n"/>
      <c r="H1062" s="102" t="n"/>
      <c r="I1062" s="100" t="n"/>
      <c r="J1062" s="102" t="n"/>
      <c r="K1062" s="100" t="n"/>
      <c r="L1062" s="102" t="n"/>
      <c r="M1062" s="100" t="n"/>
    </row>
    <row r="1063">
      <c r="A1063" s="99" t="n"/>
      <c r="B1063" s="100" t="n"/>
      <c r="C1063" s="99" t="n"/>
      <c r="D1063" s="100" t="n"/>
      <c r="E1063" s="99" t="n"/>
      <c r="F1063" s="100" t="n"/>
      <c r="G1063" s="101" t="n"/>
      <c r="H1063" s="99" t="n"/>
      <c r="I1063" s="100" t="n"/>
      <c r="J1063" s="99" t="n"/>
      <c r="K1063" s="100" t="n"/>
      <c r="L1063" s="99" t="n"/>
      <c r="M1063" s="100" t="n"/>
    </row>
    <row r="1064">
      <c r="A1064" s="99" t="n"/>
      <c r="B1064" s="100" t="n"/>
      <c r="C1064" s="99" t="n"/>
      <c r="D1064" s="100" t="n"/>
      <c r="E1064" s="99" t="n"/>
      <c r="F1064" s="100" t="n"/>
      <c r="G1064" s="101" t="n"/>
      <c r="H1064" s="99" t="n"/>
      <c r="I1064" s="100" t="n"/>
      <c r="J1064" s="99" t="n"/>
      <c r="K1064" s="100" t="n"/>
      <c r="L1064" s="99" t="n"/>
      <c r="M1064" s="100" t="n"/>
    </row>
    <row r="1065">
      <c r="A1065" s="99" t="n"/>
      <c r="B1065" s="100" t="n"/>
      <c r="C1065" s="99" t="n"/>
      <c r="D1065" s="100" t="n"/>
      <c r="E1065" s="99" t="n"/>
      <c r="F1065" s="100" t="n"/>
      <c r="G1065" s="101" t="n"/>
      <c r="H1065" s="99" t="n"/>
      <c r="I1065" s="100" t="n"/>
      <c r="J1065" s="99" t="n"/>
      <c r="K1065" s="100" t="n"/>
      <c r="L1065" s="99" t="n"/>
      <c r="M1065" s="100" t="n"/>
    </row>
    <row r="1066">
      <c r="A1066" s="102" t="n"/>
      <c r="B1066" s="100" t="n"/>
      <c r="C1066" s="102" t="n"/>
      <c r="D1066" s="100" t="n"/>
      <c r="E1066" s="102" t="n"/>
      <c r="F1066" s="100" t="n"/>
      <c r="G1066" s="101" t="n"/>
      <c r="H1066" s="102" t="n"/>
      <c r="I1066" s="100" t="n"/>
      <c r="J1066" s="102" t="n"/>
      <c r="K1066" s="100" t="n"/>
      <c r="L1066" s="102" t="n"/>
      <c r="M1066" s="100" t="n"/>
    </row>
    <row r="1067">
      <c r="A1067" s="102" t="n"/>
      <c r="B1067" s="100" t="n"/>
      <c r="C1067" s="102" t="n"/>
      <c r="D1067" s="100" t="n"/>
      <c r="E1067" s="102" t="n"/>
      <c r="F1067" s="100" t="n"/>
      <c r="G1067" s="101" t="n"/>
      <c r="H1067" s="102" t="n"/>
      <c r="I1067" s="100" t="n"/>
      <c r="J1067" s="102" t="n"/>
      <c r="K1067" s="100" t="n"/>
      <c r="L1067" s="102" t="n"/>
      <c r="M1067" s="100" t="n"/>
    </row>
    <row r="1068">
      <c r="A1068" s="102" t="n"/>
      <c r="B1068" s="100" t="n"/>
      <c r="C1068" s="102" t="n"/>
      <c r="D1068" s="100" t="n"/>
      <c r="E1068" s="102" t="n"/>
      <c r="F1068" s="100" t="n"/>
      <c r="G1068" s="101" t="n"/>
      <c r="H1068" s="102" t="n"/>
      <c r="I1068" s="100" t="n"/>
      <c r="J1068" s="102" t="n"/>
      <c r="K1068" s="100" t="n"/>
      <c r="L1068" s="102" t="n"/>
      <c r="M1068" s="100" t="n"/>
    </row>
    <row r="1069">
      <c r="A1069" s="103" t="n"/>
      <c r="B1069" s="103" t="n"/>
      <c r="C1069" s="103" t="n"/>
      <c r="D1069" s="103" t="n"/>
      <c r="E1069" s="103" t="n"/>
      <c r="F1069" s="103" t="n"/>
      <c r="G1069" s="104" t="n"/>
      <c r="H1069" s="103" t="n"/>
      <c r="I1069" s="103" t="n"/>
      <c r="J1069" s="103" t="n"/>
      <c r="K1069" s="103" t="n"/>
      <c r="L1069" s="103" t="n"/>
      <c r="M1069" s="103" t="n"/>
    </row>
    <row r="1070">
      <c r="A1070" s="95" t="n"/>
      <c r="B1070" s="97" t="n"/>
      <c r="C1070" s="95" t="n"/>
      <c r="D1070" s="97" t="n"/>
      <c r="E1070" s="95" t="n"/>
      <c r="F1070" s="97" t="n"/>
      <c r="G1070" s="94" t="n"/>
      <c r="H1070" s="95" t="n"/>
      <c r="I1070" s="97" t="n"/>
      <c r="J1070" s="95" t="n"/>
      <c r="K1070" s="97" t="n"/>
      <c r="L1070" s="95" t="n"/>
      <c r="M1070" s="97" t="n"/>
    </row>
    <row r="1071">
      <c r="A1071" s="93" t="n"/>
      <c r="B1071" s="93" t="n"/>
      <c r="C1071" s="93" t="n"/>
      <c r="D1071" s="93" t="n"/>
      <c r="E1071" s="93" t="n"/>
      <c r="F1071" s="93" t="n"/>
      <c r="G1071" s="94" t="n"/>
      <c r="H1071" s="93" t="n"/>
      <c r="I1071" s="93" t="n"/>
      <c r="J1071" s="93" t="n"/>
      <c r="K1071" s="93" t="n"/>
      <c r="L1071" s="93" t="n"/>
      <c r="M1071" s="93" t="n"/>
    </row>
    <row r="1072" ht="15" customHeight="1" s="54" thickBot="1">
      <c r="A1072" s="95" t="n"/>
      <c r="B1072" s="97" t="n"/>
      <c r="C1072" s="95" t="n"/>
      <c r="D1072" s="97" t="n"/>
      <c r="E1072" s="95" t="n"/>
      <c r="F1072" s="97" t="n"/>
      <c r="G1072" s="94" t="n"/>
      <c r="H1072" s="95" t="n"/>
      <c r="I1072" s="97" t="n"/>
      <c r="J1072" s="95" t="n"/>
      <c r="K1072" s="97" t="n"/>
      <c r="L1072" s="95" t="n"/>
      <c r="M1072" s="97" t="n"/>
    </row>
    <row r="1073" ht="15" customHeight="1" s="54" thickTop="1">
      <c r="A1073" s="108" t="n"/>
      <c r="B1073" s="108" t="n"/>
      <c r="C1073" s="108" t="n"/>
      <c r="D1073" s="108" t="n"/>
      <c r="E1073" s="108" t="n"/>
      <c r="F1073" s="108" t="n"/>
      <c r="G1073" s="109" t="n"/>
      <c r="H1073" s="108" t="n"/>
      <c r="I1073" s="108" t="n"/>
      <c r="J1073" s="108" t="n"/>
      <c r="K1073" s="108" t="n"/>
      <c r="L1073" s="108" t="n"/>
      <c r="M1073" s="108" t="n"/>
    </row>
    <row r="1074">
      <c r="A1074" s="107" t="n"/>
      <c r="B1074" s="107" t="n"/>
      <c r="C1074" s="107" t="n"/>
      <c r="D1074" s="107" t="n"/>
      <c r="E1074" s="107" t="n"/>
      <c r="F1074" s="90" t="n"/>
      <c r="G1074" s="90" t="n"/>
      <c r="H1074" s="90" t="n"/>
      <c r="I1074" s="90" t="n"/>
      <c r="J1074" s="90" t="n"/>
      <c r="K1074" s="90" t="n"/>
      <c r="L1074" s="90" t="n"/>
      <c r="M1074" s="90" t="n"/>
    </row>
    <row r="1075">
      <c r="A1075" s="90" t="n"/>
      <c r="B1075" s="90" t="n"/>
      <c r="C1075" s="90" t="n"/>
      <c r="D1075" s="90" t="n"/>
      <c r="E1075" s="90" t="n"/>
      <c r="F1075" s="91" t="n"/>
      <c r="G1075" s="91" t="n"/>
      <c r="H1075" s="91" t="n"/>
      <c r="I1075" s="91" t="n"/>
      <c r="J1075" s="90" t="n"/>
      <c r="K1075" s="90" t="n"/>
      <c r="L1075" s="90" t="n"/>
      <c r="M1075" s="90" t="n"/>
    </row>
    <row r="1076">
      <c r="A1076" s="90" t="n"/>
      <c r="B1076" s="90" t="n"/>
      <c r="C1076" s="90" t="n"/>
      <c r="D1076" s="90" t="n"/>
      <c r="E1076" s="90" t="n"/>
      <c r="F1076" s="91" t="n"/>
      <c r="G1076" s="91" t="n"/>
      <c r="H1076" s="91" t="n"/>
      <c r="I1076" s="91" t="n"/>
      <c r="J1076" s="90" t="n"/>
      <c r="K1076" s="90" t="n"/>
      <c r="L1076" s="90" t="n"/>
      <c r="M1076" s="90" t="n"/>
    </row>
    <row r="1077">
      <c r="A1077" s="90" t="n"/>
      <c r="B1077" s="90" t="n"/>
      <c r="C1077" s="90" t="n"/>
      <c r="D1077" s="90" t="n"/>
      <c r="E1077" s="90" t="n"/>
      <c r="F1077" s="91" t="n"/>
      <c r="G1077" s="91" t="n"/>
      <c r="H1077" s="91" t="n"/>
      <c r="I1077" s="91" t="n"/>
      <c r="J1077" s="90" t="n"/>
      <c r="K1077" s="90" t="n"/>
      <c r="L1077" s="90" t="n"/>
      <c r="M1077" s="90" t="n"/>
    </row>
    <row r="1078">
      <c r="A1078" s="92" t="n"/>
      <c r="B1078" s="92" t="n"/>
      <c r="C1078" s="92" t="n"/>
      <c r="D1078" s="92" t="n"/>
      <c r="E1078" s="92" t="n"/>
      <c r="F1078" s="92" t="n"/>
      <c r="H1078" s="92" t="n"/>
      <c r="I1078" s="92" t="n"/>
      <c r="J1078" s="92" t="n"/>
      <c r="K1078" s="92" t="n"/>
      <c r="L1078" s="92" t="n"/>
      <c r="M1078" s="92" t="n"/>
    </row>
    <row r="1079">
      <c r="A1079" s="93" t="n"/>
      <c r="B1079" s="93" t="n"/>
      <c r="C1079" s="93" t="n"/>
      <c r="D1079" s="93" t="n"/>
      <c r="E1079" s="93" t="n"/>
      <c r="F1079" s="93" t="n"/>
      <c r="G1079" s="94" t="n"/>
      <c r="H1079" s="93" t="n"/>
      <c r="I1079" s="93" t="n"/>
      <c r="J1079" s="93" t="n"/>
      <c r="K1079" s="93" t="n"/>
      <c r="L1079" s="93" t="n"/>
      <c r="M1079" s="93" t="n"/>
    </row>
    <row r="1080">
      <c r="A1080" s="93" t="n"/>
      <c r="B1080" s="93" t="n"/>
      <c r="C1080" s="93" t="n"/>
      <c r="D1080" s="93" t="n"/>
      <c r="E1080" s="93" t="n"/>
      <c r="F1080" s="93" t="n"/>
      <c r="G1080" s="94" t="n"/>
      <c r="H1080" s="93" t="n"/>
      <c r="I1080" s="93" t="n"/>
      <c r="J1080" s="93" t="n"/>
      <c r="K1080" s="93" t="n"/>
      <c r="L1080" s="93" t="n"/>
      <c r="M1080" s="93" t="n"/>
    </row>
    <row r="1081">
      <c r="A1081" s="99" t="n"/>
      <c r="B1081" s="100" t="n"/>
      <c r="C1081" s="99" t="n"/>
      <c r="D1081" s="100" t="n"/>
      <c r="E1081" s="99" t="n"/>
      <c r="F1081" s="100" t="n"/>
      <c r="G1081" s="101" t="n"/>
      <c r="H1081" s="99" t="n"/>
      <c r="I1081" s="100" t="n"/>
      <c r="J1081" s="99" t="n"/>
      <c r="K1081" s="100" t="n"/>
      <c r="L1081" s="99" t="n"/>
      <c r="M1081" s="100" t="n"/>
    </row>
    <row r="1082">
      <c r="A1082" s="99" t="n"/>
      <c r="B1082" s="100" t="n"/>
      <c r="C1082" s="99" t="n"/>
      <c r="D1082" s="100" t="n"/>
      <c r="E1082" s="102" t="n"/>
      <c r="F1082" s="100" t="n"/>
      <c r="G1082" s="101" t="n"/>
      <c r="H1082" s="99" t="n"/>
      <c r="I1082" s="100" t="n"/>
      <c r="J1082" s="99" t="n"/>
      <c r="K1082" s="100" t="n"/>
      <c r="L1082" s="102" t="n"/>
      <c r="M1082" s="100" t="n"/>
    </row>
    <row r="1083">
      <c r="A1083" s="99" t="n"/>
      <c r="B1083" s="100" t="n"/>
      <c r="C1083" s="99" t="n"/>
      <c r="D1083" s="100" t="n"/>
      <c r="E1083" s="99" t="n"/>
      <c r="F1083" s="100" t="n"/>
      <c r="G1083" s="101" t="n"/>
      <c r="H1083" s="99" t="n"/>
      <c r="I1083" s="100" t="n"/>
      <c r="J1083" s="99" t="n"/>
      <c r="K1083" s="100" t="n"/>
      <c r="L1083" s="99" t="n"/>
      <c r="M1083" s="100" t="n"/>
    </row>
    <row r="1084">
      <c r="A1084" s="103" t="n"/>
      <c r="B1084" s="103" t="n"/>
      <c r="C1084" s="103" t="n"/>
      <c r="D1084" s="103" t="n"/>
      <c r="E1084" s="103" t="n"/>
      <c r="F1084" s="103" t="n"/>
      <c r="G1084" s="104" t="n"/>
      <c r="H1084" s="103" t="n"/>
      <c r="I1084" s="103" t="n"/>
      <c r="J1084" s="103" t="n"/>
      <c r="K1084" s="103" t="n"/>
      <c r="L1084" s="103" t="n"/>
      <c r="M1084" s="103" t="n"/>
    </row>
    <row r="1085" ht="15" customHeight="1" s="54" thickBot="1">
      <c r="A1085" s="95" t="n"/>
      <c r="B1085" s="97" t="n"/>
      <c r="C1085" s="95" t="n"/>
      <c r="D1085" s="97" t="n"/>
      <c r="E1085" s="95" t="n"/>
      <c r="F1085" s="97" t="n"/>
      <c r="G1085" s="94" t="n"/>
      <c r="H1085" s="95" t="n"/>
      <c r="I1085" s="97" t="n"/>
      <c r="J1085" s="95" t="n"/>
      <c r="K1085" s="97" t="n"/>
      <c r="L1085" s="95" t="n"/>
      <c r="M1085" s="97" t="n"/>
    </row>
    <row r="1086" ht="15" customHeight="1" s="54" thickTop="1">
      <c r="A1086" s="108" t="n"/>
      <c r="B1086" s="108" t="n"/>
      <c r="C1086" s="108" t="n"/>
      <c r="D1086" s="108" t="n"/>
      <c r="E1086" s="108" t="n"/>
      <c r="F1086" s="108" t="n"/>
      <c r="G1086" s="109" t="n"/>
      <c r="H1086" s="108" t="n"/>
      <c r="I1086" s="108" t="n"/>
      <c r="J1086" s="108" t="n"/>
      <c r="K1086" s="108" t="n"/>
      <c r="L1086" s="108" t="n"/>
      <c r="M1086" s="108" t="n"/>
    </row>
    <row r="1087">
      <c r="A1087" s="107" t="n"/>
      <c r="B1087" s="107" t="n"/>
      <c r="C1087" s="107" t="n"/>
      <c r="D1087" s="107" t="n"/>
      <c r="E1087" s="107" t="n"/>
      <c r="F1087" s="90" t="n"/>
      <c r="G1087" s="90" t="n"/>
      <c r="H1087" s="90" t="n"/>
      <c r="I1087" s="90" t="n"/>
      <c r="J1087" s="90" t="n"/>
      <c r="K1087" s="90" t="n"/>
      <c r="L1087" s="90" t="n"/>
      <c r="M1087" s="90" t="n"/>
    </row>
    <row r="1088">
      <c r="A1088" s="90" t="n"/>
      <c r="B1088" s="90" t="n"/>
      <c r="C1088" s="90" t="n"/>
      <c r="D1088" s="90" t="n"/>
      <c r="E1088" s="90" t="n"/>
      <c r="F1088" s="91" t="n"/>
      <c r="G1088" s="91" t="n"/>
      <c r="H1088" s="91" t="n"/>
      <c r="I1088" s="91" t="n"/>
      <c r="J1088" s="90" t="n"/>
      <c r="K1088" s="90" t="n"/>
      <c r="L1088" s="90" t="n"/>
      <c r="M1088" s="90" t="n"/>
    </row>
    <row r="1089">
      <c r="A1089" s="90" t="n"/>
      <c r="B1089" s="90" t="n"/>
      <c r="C1089" s="90" t="n"/>
      <c r="D1089" s="90" t="n"/>
      <c r="E1089" s="90" t="n"/>
      <c r="F1089" s="91" t="n"/>
      <c r="G1089" s="91" t="n"/>
      <c r="H1089" s="91" t="n"/>
      <c r="I1089" s="91" t="n"/>
      <c r="J1089" s="90" t="n"/>
      <c r="K1089" s="90" t="n"/>
      <c r="L1089" s="90" t="n"/>
      <c r="M1089" s="90" t="n"/>
    </row>
    <row r="1090">
      <c r="A1090" s="90" t="n"/>
      <c r="B1090" s="90" t="n"/>
      <c r="C1090" s="90" t="n"/>
      <c r="D1090" s="90" t="n"/>
      <c r="E1090" s="90" t="n"/>
      <c r="F1090" s="91" t="n"/>
      <c r="G1090" s="91" t="n"/>
      <c r="H1090" s="91" t="n"/>
      <c r="I1090" s="91" t="n"/>
      <c r="J1090" s="90" t="n"/>
      <c r="K1090" s="90" t="n"/>
      <c r="L1090" s="90" t="n"/>
      <c r="M1090" s="90" t="n"/>
    </row>
    <row r="1091">
      <c r="A1091" s="92" t="n"/>
      <c r="B1091" s="92" t="n"/>
      <c r="C1091" s="92" t="n"/>
      <c r="D1091" s="92" t="n"/>
      <c r="E1091" s="92" t="n"/>
      <c r="F1091" s="92" t="n"/>
      <c r="H1091" s="92" t="n"/>
      <c r="I1091" s="92" t="n"/>
      <c r="J1091" s="92" t="n"/>
      <c r="K1091" s="92" t="n"/>
      <c r="L1091" s="92" t="n"/>
      <c r="M1091" s="92" t="n"/>
    </row>
    <row r="1092">
      <c r="A1092" s="93" t="n"/>
      <c r="B1092" s="93" t="n"/>
      <c r="C1092" s="93" t="n"/>
      <c r="D1092" s="93" t="n"/>
      <c r="E1092" s="93" t="n"/>
      <c r="F1092" s="93" t="n"/>
      <c r="G1092" s="94" t="n"/>
      <c r="H1092" s="93" t="n"/>
      <c r="I1092" s="93" t="n"/>
      <c r="J1092" s="93" t="n"/>
      <c r="K1092" s="93" t="n"/>
      <c r="L1092" s="93" t="n"/>
      <c r="M1092" s="93" t="n"/>
    </row>
    <row r="1093">
      <c r="A1093" s="99" t="n"/>
      <c r="B1093" s="100" t="n"/>
      <c r="C1093" s="99" t="n"/>
      <c r="D1093" s="100" t="n"/>
      <c r="E1093" s="99" t="n"/>
      <c r="F1093" s="100" t="n"/>
      <c r="G1093" s="101" t="n"/>
      <c r="H1093" s="99" t="n"/>
      <c r="I1093" s="100" t="n"/>
      <c r="J1093" s="99" t="n"/>
      <c r="K1093" s="100" t="n"/>
      <c r="L1093" s="99" t="n"/>
      <c r="M1093" s="100" t="n"/>
    </row>
    <row r="1094">
      <c r="A1094" s="103" t="n"/>
      <c r="B1094" s="103" t="n"/>
      <c r="C1094" s="103" t="n"/>
      <c r="D1094" s="103" t="n"/>
      <c r="E1094" s="103" t="n"/>
      <c r="F1094" s="103" t="n"/>
      <c r="G1094" s="104" t="n"/>
      <c r="H1094" s="103" t="n"/>
      <c r="I1094" s="103" t="n"/>
      <c r="J1094" s="103" t="n"/>
      <c r="K1094" s="103" t="n"/>
      <c r="L1094" s="103" t="n"/>
      <c r="M1094" s="103" t="n"/>
    </row>
    <row r="1095">
      <c r="A1095" s="95" t="n"/>
      <c r="B1095" s="97" t="n"/>
      <c r="C1095" s="95" t="n"/>
      <c r="D1095" s="97" t="n"/>
      <c r="E1095" s="95" t="n"/>
      <c r="F1095" s="97" t="n"/>
      <c r="G1095" s="94" t="n"/>
      <c r="H1095" s="95" t="n"/>
      <c r="I1095" s="97" t="n"/>
      <c r="J1095" s="95" t="n"/>
      <c r="K1095" s="97" t="n"/>
      <c r="L1095" s="95" t="n"/>
      <c r="M1095" s="97" t="n"/>
    </row>
    <row r="1096">
      <c r="A1096" s="93" t="n"/>
      <c r="B1096" s="93" t="n"/>
      <c r="C1096" s="93" t="n"/>
      <c r="D1096" s="93" t="n"/>
      <c r="E1096" s="93" t="n"/>
      <c r="F1096" s="93" t="n"/>
      <c r="G1096" s="94" t="n"/>
      <c r="H1096" s="93" t="n"/>
      <c r="I1096" s="93" t="n"/>
      <c r="J1096" s="93" t="n"/>
      <c r="K1096" s="93" t="n"/>
      <c r="L1096" s="93" t="n"/>
      <c r="M1096" s="93" t="n"/>
    </row>
    <row r="1097">
      <c r="A1097" s="93" t="n"/>
      <c r="B1097" s="93" t="n"/>
      <c r="C1097" s="93" t="n"/>
      <c r="D1097" s="93" t="n"/>
      <c r="E1097" s="93" t="n"/>
      <c r="F1097" s="93" t="n"/>
      <c r="G1097" s="94" t="n"/>
      <c r="H1097" s="93" t="n"/>
      <c r="I1097" s="93" t="n"/>
      <c r="J1097" s="93" t="n"/>
      <c r="K1097" s="93" t="n"/>
      <c r="L1097" s="93" t="n"/>
      <c r="M1097" s="93" t="n"/>
    </row>
    <row r="1098">
      <c r="A1098" s="93" t="n"/>
      <c r="B1098" s="93" t="n"/>
      <c r="C1098" s="93" t="n"/>
      <c r="D1098" s="93" t="n"/>
      <c r="E1098" s="93" t="n"/>
      <c r="F1098" s="93" t="n"/>
      <c r="G1098" s="94" t="n"/>
      <c r="H1098" s="93" t="n"/>
      <c r="I1098" s="93" t="n"/>
      <c r="J1098" s="93" t="n"/>
      <c r="K1098" s="93" t="n"/>
      <c r="L1098" s="93" t="n"/>
      <c r="M1098" s="93" t="n"/>
    </row>
    <row r="1099">
      <c r="A1099" s="93" t="n"/>
      <c r="B1099" s="93" t="n"/>
      <c r="C1099" s="93" t="n"/>
      <c r="D1099" s="93" t="n"/>
      <c r="E1099" s="93" t="n"/>
      <c r="F1099" s="93" t="n"/>
      <c r="G1099" s="94" t="n"/>
      <c r="H1099" s="93" t="n"/>
      <c r="I1099" s="93" t="n"/>
      <c r="J1099" s="93" t="n"/>
      <c r="K1099" s="93" t="n"/>
      <c r="L1099" s="93" t="n"/>
      <c r="M1099" s="93" t="n"/>
    </row>
    <row r="1100">
      <c r="A1100" s="99" t="n"/>
      <c r="B1100" s="100" t="n"/>
      <c r="C1100" s="99" t="n"/>
      <c r="D1100" s="100" t="n"/>
      <c r="E1100" s="99" t="n"/>
      <c r="F1100" s="100" t="n"/>
      <c r="G1100" s="101" t="n"/>
      <c r="H1100" s="99" t="n"/>
      <c r="I1100" s="100" t="n"/>
      <c r="J1100" s="99" t="n"/>
      <c r="K1100" s="100" t="n"/>
      <c r="L1100" s="99" t="n"/>
      <c r="M1100" s="100" t="n"/>
    </row>
    <row r="1101">
      <c r="A1101" s="103" t="n"/>
      <c r="B1101" s="103" t="n"/>
      <c r="C1101" s="103" t="n"/>
      <c r="D1101" s="103" t="n"/>
      <c r="E1101" s="103" t="n"/>
      <c r="F1101" s="103" t="n"/>
      <c r="G1101" s="104" t="n"/>
      <c r="H1101" s="103" t="n"/>
      <c r="I1101" s="103" t="n"/>
      <c r="J1101" s="103" t="n"/>
      <c r="K1101" s="103" t="n"/>
      <c r="L1101" s="103" t="n"/>
      <c r="M1101" s="103" t="n"/>
    </row>
    <row r="1102">
      <c r="A1102" s="95" t="n"/>
      <c r="B1102" s="97" t="n"/>
      <c r="C1102" s="95" t="n"/>
      <c r="D1102" s="97" t="n"/>
      <c r="E1102" s="95" t="n"/>
      <c r="F1102" s="97" t="n"/>
      <c r="G1102" s="94" t="n"/>
      <c r="H1102" s="95" t="n"/>
      <c r="I1102" s="97" t="n"/>
      <c r="J1102" s="95" t="n"/>
      <c r="K1102" s="97" t="n"/>
      <c r="L1102" s="95" t="n"/>
      <c r="M1102" s="97" t="n"/>
    </row>
    <row r="1103">
      <c r="A1103" s="93" t="n"/>
      <c r="B1103" s="93" t="n"/>
      <c r="C1103" s="93" t="n"/>
      <c r="D1103" s="93" t="n"/>
      <c r="E1103" s="93" t="n"/>
      <c r="F1103" s="93" t="n"/>
      <c r="G1103" s="94" t="n"/>
      <c r="H1103" s="93" t="n"/>
      <c r="I1103" s="93" t="n"/>
      <c r="J1103" s="93" t="n"/>
      <c r="K1103" s="93" t="n"/>
      <c r="L1103" s="93" t="n"/>
      <c r="M1103" s="93" t="n"/>
    </row>
    <row r="1104">
      <c r="A1104" s="99" t="n"/>
      <c r="B1104" s="100" t="n"/>
      <c r="C1104" s="99" t="n"/>
      <c r="D1104" s="100" t="n"/>
      <c r="E1104" s="99" t="n"/>
      <c r="F1104" s="100" t="n"/>
      <c r="G1104" s="101" t="n"/>
      <c r="H1104" s="99" t="n"/>
      <c r="I1104" s="100" t="n"/>
      <c r="J1104" s="99" t="n"/>
      <c r="K1104" s="100" t="n"/>
      <c r="L1104" s="99" t="n"/>
      <c r="M1104" s="100" t="n"/>
    </row>
    <row r="1105">
      <c r="A1105" s="103" t="n"/>
      <c r="B1105" s="103" t="n"/>
      <c r="C1105" s="103" t="n"/>
      <c r="D1105" s="103" t="n"/>
      <c r="E1105" s="103" t="n"/>
      <c r="F1105" s="103" t="n"/>
      <c r="G1105" s="104" t="n"/>
      <c r="H1105" s="103" t="n"/>
      <c r="I1105" s="103" t="n"/>
      <c r="J1105" s="103" t="n"/>
      <c r="K1105" s="103" t="n"/>
      <c r="L1105" s="103" t="n"/>
      <c r="M1105" s="103" t="n"/>
    </row>
    <row r="1106">
      <c r="A1106" s="95" t="n"/>
      <c r="B1106" s="97" t="n"/>
      <c r="C1106" s="95" t="n"/>
      <c r="D1106" s="97" t="n"/>
      <c r="E1106" s="95" t="n"/>
      <c r="F1106" s="97" t="n"/>
      <c r="G1106" s="94" t="n"/>
      <c r="H1106" s="95" t="n"/>
      <c r="I1106" s="97" t="n"/>
      <c r="J1106" s="95" t="n"/>
      <c r="K1106" s="97" t="n"/>
      <c r="L1106" s="95" t="n"/>
      <c r="M1106" s="97" t="n"/>
    </row>
    <row r="1107">
      <c r="A1107" s="93" t="n"/>
      <c r="B1107" s="93" t="n"/>
      <c r="C1107" s="93" t="n"/>
      <c r="D1107" s="93" t="n"/>
      <c r="E1107" s="93" t="n"/>
      <c r="F1107" s="93" t="n"/>
      <c r="G1107" s="94" t="n"/>
      <c r="H1107" s="93" t="n"/>
      <c r="I1107" s="93" t="n"/>
      <c r="J1107" s="93" t="n"/>
      <c r="K1107" s="93" t="n"/>
      <c r="L1107" s="93" t="n"/>
      <c r="M1107" s="93" t="n"/>
    </row>
    <row r="1108">
      <c r="A1108" s="111" t="n"/>
      <c r="B1108" s="111" t="n"/>
      <c r="C1108" s="111" t="n"/>
      <c r="D1108" s="111" t="n"/>
      <c r="E1108" s="111" t="n"/>
      <c r="F1108" s="111" t="n"/>
      <c r="G1108" s="112" t="n"/>
      <c r="H1108" s="111" t="n"/>
      <c r="I1108" s="111" t="n"/>
      <c r="J1108" s="111" t="n"/>
      <c r="K1108" s="111" t="n"/>
      <c r="L1108" s="111" t="n"/>
      <c r="M1108" s="111" t="n"/>
    </row>
    <row r="1109">
      <c r="A1109" s="96" t="n"/>
      <c r="B1109" s="97" t="n"/>
      <c r="C1109" s="96" t="n"/>
      <c r="D1109" s="97" t="n"/>
      <c r="E1109" s="96" t="n"/>
      <c r="F1109" s="97" t="n"/>
      <c r="G1109" s="94" t="n"/>
      <c r="H1109" s="96" t="n"/>
      <c r="I1109" s="97" t="n"/>
      <c r="J1109" s="96" t="n"/>
      <c r="K1109" s="97" t="n"/>
      <c r="L1109" s="96" t="n"/>
      <c r="M1109" s="97" t="n"/>
    </row>
    <row r="1110">
      <c r="A1110" s="93" t="n"/>
      <c r="B1110" s="93" t="n"/>
      <c r="C1110" s="93" t="n"/>
      <c r="D1110" s="93" t="n"/>
      <c r="E1110" s="93" t="n"/>
      <c r="F1110" s="93" t="n"/>
      <c r="G1110" s="94" t="n"/>
      <c r="H1110" s="93" t="n"/>
      <c r="I1110" s="93" t="n"/>
      <c r="J1110" s="93" t="n"/>
      <c r="K1110" s="93" t="n"/>
      <c r="L1110" s="93" t="n"/>
      <c r="M1110" s="93" t="n"/>
    </row>
    <row r="1111">
      <c r="A1111" s="111" t="n"/>
      <c r="B1111" s="111" t="n"/>
      <c r="C1111" s="111" t="n"/>
      <c r="D1111" s="111" t="n"/>
      <c r="E1111" s="111" t="n"/>
      <c r="F1111" s="111" t="n"/>
      <c r="G1111" s="112" t="n"/>
      <c r="H1111" s="111" t="n"/>
      <c r="I1111" s="111" t="n"/>
      <c r="J1111" s="111" t="n"/>
      <c r="K1111" s="111" t="n"/>
      <c r="L1111" s="111" t="n"/>
      <c r="M1111" s="111" t="n"/>
    </row>
    <row r="1112">
      <c r="A1112" s="96" t="n"/>
      <c r="B1112" s="97" t="n"/>
      <c r="C1112" s="96" t="n"/>
      <c r="D1112" s="97" t="n"/>
      <c r="E1112" s="96" t="n"/>
      <c r="F1112" s="97" t="n"/>
      <c r="G1112" s="94" t="n"/>
      <c r="H1112" s="96" t="n"/>
      <c r="I1112" s="97" t="n"/>
      <c r="J1112" s="96" t="n"/>
      <c r="K1112" s="97" t="n"/>
      <c r="L1112" s="96" t="n"/>
      <c r="M1112" s="97" t="n"/>
    </row>
    <row r="1113">
      <c r="A1113" s="93" t="n"/>
      <c r="B1113" s="93" t="n"/>
      <c r="C1113" s="93" t="n"/>
      <c r="D1113" s="93" t="n"/>
      <c r="E1113" s="93" t="n"/>
      <c r="F1113" s="93" t="n"/>
      <c r="G1113" s="94" t="n"/>
      <c r="H1113" s="93" t="n"/>
      <c r="I1113" s="93" t="n"/>
      <c r="J1113" s="93" t="n"/>
      <c r="K1113" s="93" t="n"/>
      <c r="L1113" s="93" t="n"/>
      <c r="M1113" s="93" t="n"/>
    </row>
    <row r="1114" ht="15" customHeight="1" s="54" thickBot="1">
      <c r="A1114" s="95" t="n"/>
      <c r="B1114" s="97" t="n"/>
      <c r="C1114" s="95" t="n"/>
      <c r="D1114" s="97" t="n"/>
      <c r="E1114" s="95" t="n"/>
      <c r="F1114" s="97" t="n"/>
      <c r="G1114" s="94" t="n"/>
      <c r="H1114" s="95" t="n"/>
      <c r="I1114" s="97" t="n"/>
      <c r="J1114" s="95" t="n"/>
      <c r="K1114" s="97" t="n"/>
      <c r="L1114" s="95" t="n"/>
      <c r="M1114" s="97" t="n"/>
    </row>
    <row r="1115" ht="15" customHeight="1" s="54" thickTop="1">
      <c r="A1115" s="108" t="n"/>
      <c r="B1115" s="108" t="n"/>
      <c r="C1115" s="108" t="n"/>
      <c r="D1115" s="108" t="n"/>
      <c r="E1115" s="108" t="n"/>
      <c r="F1115" s="108" t="n"/>
      <c r="G1115" s="109" t="n"/>
      <c r="H1115" s="108" t="n"/>
      <c r="I1115" s="108" t="n"/>
      <c r="J1115" s="108" t="n"/>
      <c r="K1115" s="108" t="n"/>
      <c r="L1115" s="108" t="n"/>
      <c r="M1115" s="108" t="n"/>
    </row>
    <row r="1116">
      <c r="A1116" s="93" t="n"/>
      <c r="B1116" s="93" t="n"/>
      <c r="C1116" s="93" t="n"/>
      <c r="D1116" s="93" t="n"/>
      <c r="E1116" s="93" t="n"/>
      <c r="F1116" s="93" t="n"/>
      <c r="G1116" s="94" t="n"/>
      <c r="H1116" s="93" t="n"/>
      <c r="I1116" s="93" t="n"/>
      <c r="J1116" s="93" t="n"/>
      <c r="K1116" s="93" t="n"/>
      <c r="L1116" s="93" t="n"/>
      <c r="M1116" s="93" t="n"/>
    </row>
    <row r="1117">
      <c r="A1117" s="93" t="n"/>
      <c r="B1117" s="93" t="n"/>
      <c r="C1117" s="93" t="n"/>
      <c r="D1117" s="93" t="n"/>
      <c r="E1117" s="93" t="n"/>
      <c r="F1117" s="93" t="n"/>
      <c r="G1117" s="94" t="n"/>
      <c r="H1117" s="93" t="n"/>
      <c r="I1117" s="93" t="n"/>
      <c r="J1117" s="93" t="n"/>
      <c r="K1117" s="93" t="n"/>
      <c r="L1117" s="93" t="n"/>
      <c r="M1117" s="93" t="n"/>
    </row>
    <row r="1118">
      <c r="A1118" s="93" t="n"/>
      <c r="B1118" s="93" t="n"/>
      <c r="C1118" s="93" t="n"/>
      <c r="D1118" s="93" t="n"/>
      <c r="E1118" s="93" t="n"/>
      <c r="F1118" s="93" t="n"/>
      <c r="G1118" s="94" t="n"/>
      <c r="H1118" s="93" t="n"/>
      <c r="I1118" s="93" t="n"/>
      <c r="J1118" s="93" t="n"/>
      <c r="K1118" s="93" t="n"/>
      <c r="L1118" s="93" t="n"/>
      <c r="M1118" s="93" t="n"/>
    </row>
    <row r="1119">
      <c r="A1119" s="96" t="n"/>
      <c r="B1119" s="97" t="n"/>
      <c r="C1119" s="96" t="n"/>
      <c r="D1119" s="97" t="n"/>
      <c r="E1119" s="96" t="n"/>
      <c r="F1119" s="97" t="n"/>
      <c r="G1119" s="94" t="n"/>
      <c r="H1119" s="96" t="n"/>
      <c r="I1119" s="97" t="n"/>
      <c r="J1119" s="96" t="n"/>
      <c r="K1119" s="97" t="n"/>
      <c r="L1119" s="96" t="n"/>
      <c r="M1119" s="97" t="n"/>
    </row>
    <row r="1120">
      <c r="A1120" s="93" t="n"/>
      <c r="B1120" s="93" t="n"/>
      <c r="C1120" s="93" t="n"/>
      <c r="D1120" s="93" t="n"/>
      <c r="E1120" s="93" t="n"/>
      <c r="F1120" s="93" t="n"/>
      <c r="G1120" s="94" t="n"/>
      <c r="H1120" s="93" t="n"/>
      <c r="I1120" s="93" t="n"/>
      <c r="J1120" s="93" t="n"/>
      <c r="K1120" s="93" t="n"/>
      <c r="L1120" s="93" t="n"/>
      <c r="M1120" s="93" t="n"/>
    </row>
    <row r="1121">
      <c r="A1121" s="93" t="n"/>
      <c r="B1121" s="93" t="n"/>
      <c r="C1121" s="93" t="n"/>
      <c r="D1121" s="93" t="n"/>
      <c r="E1121" s="93" t="n"/>
      <c r="F1121" s="93" t="n"/>
      <c r="G1121" s="94" t="n"/>
      <c r="H1121" s="93" t="n"/>
      <c r="I1121" s="93" t="n"/>
      <c r="J1121" s="93" t="n"/>
      <c r="K1121" s="93" t="n"/>
      <c r="L1121" s="93" t="n"/>
      <c r="M1121" s="93" t="n"/>
    </row>
    <row r="1122">
      <c r="A1122" s="96" t="n"/>
      <c r="B1122" s="97" t="n"/>
      <c r="C1122" s="96" t="n"/>
      <c r="D1122" s="97" t="n"/>
      <c r="E1122" s="96" t="n"/>
      <c r="F1122" s="97" t="n"/>
      <c r="G1122" s="94" t="n"/>
      <c r="H1122" s="96" t="n"/>
      <c r="I1122" s="97" t="n"/>
      <c r="J1122" s="96" t="n"/>
      <c r="K1122" s="97" t="n"/>
      <c r="L1122" s="96" t="n"/>
      <c r="M1122" s="97" t="n"/>
    </row>
    <row r="1123">
      <c r="A1123" s="93" t="n"/>
      <c r="B1123" s="93" t="n"/>
      <c r="C1123" s="93" t="n"/>
      <c r="D1123" s="93" t="n"/>
      <c r="E1123" s="93" t="n"/>
      <c r="F1123" s="93" t="n"/>
      <c r="G1123" s="94" t="n"/>
      <c r="H1123" s="93" t="n"/>
      <c r="I1123" s="93" t="n"/>
      <c r="J1123" s="93" t="n"/>
      <c r="K1123" s="93" t="n"/>
      <c r="L1123" s="93" t="n"/>
      <c r="M1123" s="93" t="n"/>
    </row>
    <row r="1124">
      <c r="A1124" s="106" t="n"/>
      <c r="B1124" s="106" t="n"/>
      <c r="C1124" s="106" t="n"/>
      <c r="D1124" s="106" t="n"/>
      <c r="E1124" s="106" t="n"/>
      <c r="F1124" s="106" t="n"/>
      <c r="G1124" s="101" t="n"/>
      <c r="H1124" s="106" t="n"/>
      <c r="I1124" s="106" t="n"/>
      <c r="J1124" s="106" t="n"/>
      <c r="K1124" s="106" t="n"/>
      <c r="L1124" s="106" t="n"/>
      <c r="M1124" s="106" t="n"/>
    </row>
    <row r="1125">
      <c r="A1125" s="102" t="n"/>
      <c r="B1125" s="100" t="n"/>
      <c r="C1125" s="102" t="n"/>
      <c r="D1125" s="100" t="n"/>
      <c r="E1125" s="102" t="n"/>
      <c r="F1125" s="100" t="n"/>
      <c r="G1125" s="101" t="n"/>
      <c r="H1125" s="102" t="n"/>
      <c r="I1125" s="100" t="n"/>
      <c r="J1125" s="102" t="n"/>
      <c r="K1125" s="100" t="n"/>
      <c r="L1125" s="102" t="n"/>
      <c r="M1125" s="100" t="n"/>
    </row>
    <row r="1126">
      <c r="A1126" s="96" t="n"/>
      <c r="B1126" s="97" t="n"/>
      <c r="C1126" s="96" t="n"/>
      <c r="D1126" s="97" t="n"/>
      <c r="E1126" s="96" t="n"/>
      <c r="F1126" s="97" t="n"/>
      <c r="G1126" s="94" t="n"/>
      <c r="H1126" s="96" t="n"/>
      <c r="I1126" s="97" t="n"/>
      <c r="J1126" s="96" t="n"/>
      <c r="K1126" s="97" t="n"/>
      <c r="L1126" s="96" t="n"/>
      <c r="M1126" s="97" t="n"/>
    </row>
    <row r="1127">
      <c r="A1127" s="93" t="n"/>
      <c r="B1127" s="93" t="n"/>
      <c r="C1127" s="93" t="n"/>
      <c r="D1127" s="93" t="n"/>
      <c r="E1127" s="93" t="n"/>
      <c r="F1127" s="93" t="n"/>
      <c r="G1127" s="94" t="n"/>
      <c r="H1127" s="93" t="n"/>
      <c r="I1127" s="93" t="n"/>
      <c r="J1127" s="93" t="n"/>
      <c r="K1127" s="93" t="n"/>
      <c r="L1127" s="93" t="n"/>
      <c r="M1127" s="93" t="n"/>
    </row>
    <row r="1128">
      <c r="A1128" s="107" t="n"/>
      <c r="B1128" s="107" t="n"/>
      <c r="C1128" s="107" t="n"/>
      <c r="D1128" s="107" t="n"/>
      <c r="E1128" s="107" t="n"/>
      <c r="F1128" s="90" t="n"/>
      <c r="G1128" s="90" t="n"/>
      <c r="H1128" s="90" t="n"/>
      <c r="I1128" s="90" t="n"/>
      <c r="J1128" s="90" t="n"/>
      <c r="K1128" s="90" t="n"/>
      <c r="L1128" s="90" t="n"/>
      <c r="M1128" s="90" t="n"/>
    </row>
    <row r="1129">
      <c r="A1129" s="90" t="n"/>
      <c r="B1129" s="90" t="n"/>
      <c r="C1129" s="90" t="n"/>
      <c r="D1129" s="90" t="n"/>
      <c r="E1129" s="90" t="n"/>
      <c r="F1129" s="91" t="n"/>
      <c r="G1129" s="91" t="n"/>
      <c r="H1129" s="91" t="n"/>
      <c r="I1129" s="91" t="n"/>
      <c r="J1129" s="90" t="n"/>
      <c r="K1129" s="90" t="n"/>
      <c r="L1129" s="90" t="n"/>
      <c r="M1129" s="90" t="n"/>
    </row>
    <row r="1130">
      <c r="A1130" s="90" t="n"/>
      <c r="B1130" s="90" t="n"/>
      <c r="C1130" s="90" t="n"/>
      <c r="D1130" s="90" t="n"/>
      <c r="E1130" s="90" t="n"/>
      <c r="F1130" s="91" t="n"/>
      <c r="G1130" s="91" t="n"/>
      <c r="H1130" s="91" t="n"/>
      <c r="I1130" s="91" t="n"/>
      <c r="J1130" s="90" t="n"/>
      <c r="K1130" s="90" t="n"/>
      <c r="L1130" s="90" t="n"/>
      <c r="M1130" s="90" t="n"/>
    </row>
    <row r="1131">
      <c r="A1131" s="90" t="n"/>
      <c r="B1131" s="90" t="n"/>
      <c r="C1131" s="90" t="n"/>
      <c r="D1131" s="90" t="n"/>
      <c r="E1131" s="90" t="n"/>
      <c r="F1131" s="91" t="n"/>
      <c r="G1131" s="91" t="n"/>
      <c r="H1131" s="91" t="n"/>
      <c r="I1131" s="91" t="n"/>
      <c r="J1131" s="90" t="n"/>
      <c r="K1131" s="90" t="n"/>
      <c r="L1131" s="90" t="n"/>
      <c r="M1131" s="90" t="n"/>
    </row>
    <row r="1132">
      <c r="A1132" s="92" t="n"/>
      <c r="B1132" s="92" t="n"/>
      <c r="C1132" s="92" t="n"/>
      <c r="D1132" s="92" t="n"/>
      <c r="E1132" s="92" t="n"/>
      <c r="F1132" s="92" t="n"/>
      <c r="H1132" s="92" t="n"/>
      <c r="I1132" s="92" t="n"/>
      <c r="J1132" s="92" t="n"/>
      <c r="K1132" s="92" t="n"/>
      <c r="L1132" s="92" t="n"/>
      <c r="M1132" s="92" t="n"/>
    </row>
    <row r="1133">
      <c r="A1133" s="93" t="n"/>
      <c r="B1133" s="93" t="n"/>
      <c r="C1133" s="93" t="n"/>
      <c r="D1133" s="93" t="n"/>
      <c r="E1133" s="93" t="n"/>
      <c r="F1133" s="93" t="n"/>
      <c r="G1133" s="94" t="n"/>
      <c r="H1133" s="93" t="n"/>
      <c r="I1133" s="93" t="n"/>
      <c r="J1133" s="93" t="n"/>
      <c r="K1133" s="93" t="n"/>
      <c r="L1133" s="93" t="n"/>
      <c r="M1133" s="93" t="n"/>
    </row>
    <row r="1134">
      <c r="A1134" s="93" t="n"/>
      <c r="B1134" s="93" t="n"/>
      <c r="C1134" s="93" t="n"/>
      <c r="D1134" s="93" t="n"/>
      <c r="E1134" s="93" t="n"/>
      <c r="F1134" s="93" t="n"/>
      <c r="G1134" s="94" t="n"/>
      <c r="H1134" s="93" t="n"/>
      <c r="I1134" s="93" t="n"/>
      <c r="J1134" s="93" t="n"/>
      <c r="K1134" s="93" t="n"/>
      <c r="L1134" s="93" t="n"/>
      <c r="M1134" s="93" t="n"/>
    </row>
    <row r="1135">
      <c r="A1135" s="93" t="n"/>
      <c r="B1135" s="93" t="n"/>
      <c r="C1135" s="93" t="n"/>
      <c r="D1135" s="93" t="n"/>
      <c r="E1135" s="93" t="n"/>
      <c r="F1135" s="93" t="n"/>
      <c r="G1135" s="94" t="n"/>
      <c r="H1135" s="93" t="n"/>
      <c r="I1135" s="93" t="n"/>
      <c r="J1135" s="93" t="n"/>
      <c r="K1135" s="93" t="n"/>
      <c r="L1135" s="93" t="n"/>
      <c r="M1135" s="93" t="n"/>
    </row>
    <row r="1136">
      <c r="A1136" s="93" t="n"/>
      <c r="B1136" s="93" t="n"/>
      <c r="C1136" s="93" t="n"/>
      <c r="D1136" s="93" t="n"/>
      <c r="E1136" s="93" t="n"/>
      <c r="F1136" s="93" t="n"/>
      <c r="G1136" s="94" t="n"/>
      <c r="H1136" s="93" t="n"/>
      <c r="I1136" s="93" t="n"/>
      <c r="J1136" s="93" t="n"/>
      <c r="K1136" s="93" t="n"/>
      <c r="L1136" s="93" t="n"/>
      <c r="M1136" s="93" t="n"/>
    </row>
    <row r="1137">
      <c r="A1137" s="93" t="n"/>
      <c r="B1137" s="93" t="n"/>
      <c r="C1137" s="93" t="n"/>
      <c r="D1137" s="93" t="n"/>
      <c r="E1137" s="93" t="n"/>
      <c r="F1137" s="93" t="n"/>
      <c r="G1137" s="94" t="n"/>
      <c r="H1137" s="93" t="n"/>
      <c r="I1137" s="93" t="n"/>
      <c r="J1137" s="93" t="n"/>
      <c r="K1137" s="93" t="n"/>
      <c r="L1137" s="93" t="n"/>
      <c r="M1137" s="93" t="n"/>
    </row>
    <row r="1138">
      <c r="A1138" s="93" t="n"/>
      <c r="B1138" s="93" t="n"/>
      <c r="C1138" s="93" t="n"/>
      <c r="D1138" s="93" t="n"/>
      <c r="E1138" s="93" t="n"/>
      <c r="F1138" s="93" t="n"/>
      <c r="G1138" s="94" t="n"/>
      <c r="H1138" s="93" t="n"/>
      <c r="I1138" s="93" t="n"/>
      <c r="J1138" s="93" t="n"/>
      <c r="K1138" s="93" t="n"/>
      <c r="L1138" s="93" t="n"/>
      <c r="M1138" s="93" t="n"/>
    </row>
    <row r="1139">
      <c r="A1139" s="96" t="n"/>
      <c r="B1139" s="97" t="n"/>
      <c r="C1139" s="96" t="n"/>
      <c r="D1139" s="97" t="n"/>
      <c r="E1139" s="96" t="n"/>
      <c r="F1139" s="97" t="n"/>
      <c r="G1139" s="94" t="n"/>
      <c r="H1139" s="96" t="n"/>
      <c r="I1139" s="97" t="n"/>
      <c r="J1139" s="96" t="n"/>
      <c r="K1139" s="97" t="n"/>
      <c r="L1139" s="96" t="n"/>
      <c r="M1139" s="97" t="n"/>
    </row>
    <row r="1140">
      <c r="A1140" s="93" t="n"/>
      <c r="B1140" s="93" t="n"/>
      <c r="C1140" s="93" t="n"/>
      <c r="D1140" s="93" t="n"/>
      <c r="E1140" s="93" t="n"/>
      <c r="F1140" s="93" t="n"/>
      <c r="G1140" s="94" t="n"/>
      <c r="H1140" s="93" t="n"/>
      <c r="I1140" s="93" t="n"/>
      <c r="J1140" s="93" t="n"/>
      <c r="K1140" s="93" t="n"/>
      <c r="L1140" s="93" t="n"/>
      <c r="M1140" s="93" t="n"/>
    </row>
    <row r="1141">
      <c r="A1141" s="93" t="n"/>
      <c r="B1141" s="93" t="n"/>
      <c r="C1141" s="93" t="n"/>
      <c r="D1141" s="93" t="n"/>
      <c r="E1141" s="93" t="n"/>
      <c r="F1141" s="93" t="n"/>
      <c r="G1141" s="94" t="n"/>
      <c r="H1141" s="93" t="n"/>
      <c r="I1141" s="93" t="n"/>
      <c r="J1141" s="93" t="n"/>
      <c r="K1141" s="93" t="n"/>
      <c r="L1141" s="93" t="n"/>
      <c r="M1141" s="93" t="n"/>
    </row>
    <row r="1142">
      <c r="A1142" s="96" t="n"/>
      <c r="B1142" s="97" t="n"/>
      <c r="C1142" s="96" t="n"/>
      <c r="D1142" s="97" t="n"/>
      <c r="E1142" s="96" t="n"/>
      <c r="F1142" s="97" t="n"/>
      <c r="G1142" s="94" t="n"/>
      <c r="H1142" s="96" t="n"/>
      <c r="I1142" s="97" t="n"/>
      <c r="J1142" s="96" t="n"/>
      <c r="K1142" s="97" t="n"/>
      <c r="L1142" s="96" t="n"/>
      <c r="M1142" s="97" t="n"/>
    </row>
    <row r="1143">
      <c r="A1143" s="93" t="n"/>
      <c r="B1143" s="93" t="n"/>
      <c r="C1143" s="93" t="n"/>
      <c r="D1143" s="93" t="n"/>
      <c r="E1143" s="93" t="n"/>
      <c r="F1143" s="93" t="n"/>
      <c r="G1143" s="94" t="n"/>
      <c r="H1143" s="93" t="n"/>
      <c r="I1143" s="93" t="n"/>
      <c r="J1143" s="93" t="n"/>
      <c r="K1143" s="93" t="n"/>
      <c r="L1143" s="93" t="n"/>
      <c r="M1143" s="93" t="n"/>
    </row>
    <row r="1144">
      <c r="A1144" s="96" t="n"/>
      <c r="B1144" s="97" t="n"/>
      <c r="C1144" s="96" t="n"/>
      <c r="D1144" s="97" t="n"/>
      <c r="E1144" s="96" t="n"/>
      <c r="F1144" s="97" t="n"/>
      <c r="G1144" s="94" t="n"/>
      <c r="H1144" s="96" t="n"/>
      <c r="I1144" s="97" t="n"/>
      <c r="J1144" s="96" t="n"/>
      <c r="K1144" s="97" t="n"/>
      <c r="L1144" s="96" t="n"/>
      <c r="M1144" s="97" t="n"/>
    </row>
    <row r="1145">
      <c r="A1145" s="93" t="n"/>
      <c r="B1145" s="93" t="n"/>
      <c r="C1145" s="93" t="n"/>
      <c r="D1145" s="93" t="n"/>
      <c r="E1145" s="93" t="n"/>
      <c r="F1145" s="93" t="n"/>
      <c r="G1145" s="94" t="n"/>
      <c r="H1145" s="93" t="n"/>
      <c r="I1145" s="93" t="n"/>
      <c r="J1145" s="93" t="n"/>
      <c r="K1145" s="93" t="n"/>
      <c r="L1145" s="93" t="n"/>
      <c r="M1145" s="93" t="n"/>
    </row>
    <row r="1146">
      <c r="A1146" s="93" t="n"/>
      <c r="B1146" s="93" t="n"/>
      <c r="C1146" s="93" t="n"/>
      <c r="D1146" s="93" t="n"/>
      <c r="E1146" s="93" t="n"/>
      <c r="F1146" s="93" t="n"/>
      <c r="G1146" s="94" t="n"/>
      <c r="H1146" s="93" t="n"/>
      <c r="I1146" s="93" t="n"/>
      <c r="J1146" s="93" t="n"/>
      <c r="K1146" s="93" t="n"/>
      <c r="L1146" s="93" t="n"/>
      <c r="M1146" s="93" t="n"/>
    </row>
    <row r="1147">
      <c r="A1147" s="111" t="n"/>
      <c r="B1147" s="111" t="n"/>
      <c r="C1147" s="111" t="n"/>
      <c r="D1147" s="111" t="n"/>
      <c r="E1147" s="111" t="n"/>
      <c r="F1147" s="111" t="n"/>
      <c r="G1147" s="112" t="n"/>
      <c r="H1147" s="111" t="n"/>
      <c r="I1147" s="111" t="n"/>
      <c r="J1147" s="111" t="n"/>
      <c r="K1147" s="111" t="n"/>
      <c r="L1147" s="111" t="n"/>
      <c r="M1147" s="111" t="n"/>
    </row>
    <row r="1148">
      <c r="A1148" s="96" t="n"/>
      <c r="B1148" s="97" t="n"/>
      <c r="C1148" s="96" t="n"/>
      <c r="D1148" s="97" t="n"/>
      <c r="E1148" s="96" t="n"/>
      <c r="F1148" s="97" t="n"/>
      <c r="G1148" s="94" t="n"/>
      <c r="H1148" s="96" t="n"/>
      <c r="I1148" s="97" t="n"/>
      <c r="J1148" s="96" t="n"/>
      <c r="K1148" s="97" t="n"/>
      <c r="L1148" s="96" t="n"/>
      <c r="M1148" s="97" t="n"/>
    </row>
    <row r="1149">
      <c r="A1149" s="93" t="n"/>
      <c r="B1149" s="93" t="n"/>
      <c r="C1149" s="93" t="n"/>
      <c r="D1149" s="93" t="n"/>
      <c r="E1149" s="93" t="n"/>
      <c r="F1149" s="93" t="n"/>
      <c r="G1149" s="94" t="n"/>
      <c r="H1149" s="93" t="n"/>
      <c r="I1149" s="93" t="n"/>
      <c r="J1149" s="93" t="n"/>
      <c r="K1149" s="93" t="n"/>
      <c r="L1149" s="93" t="n"/>
      <c r="M1149" s="93" t="n"/>
    </row>
    <row r="1150">
      <c r="A1150" s="96" t="n"/>
      <c r="B1150" s="97" t="n"/>
      <c r="C1150" s="96" t="n"/>
      <c r="D1150" s="97" t="n"/>
      <c r="E1150" s="96" t="n"/>
      <c r="F1150" s="97" t="n"/>
      <c r="G1150" s="94" t="n"/>
      <c r="H1150" s="96" t="n"/>
      <c r="I1150" s="97" t="n"/>
      <c r="J1150" s="96" t="n"/>
      <c r="K1150" s="97" t="n"/>
      <c r="L1150" s="96" t="n"/>
      <c r="M1150" s="97" t="n"/>
    </row>
    <row r="1151">
      <c r="A1151" s="93" t="n"/>
      <c r="B1151" s="93" t="n"/>
      <c r="C1151" s="93" t="n"/>
      <c r="D1151" s="93" t="n"/>
      <c r="E1151" s="93" t="n"/>
      <c r="F1151" s="93" t="n"/>
      <c r="G1151" s="94" t="n"/>
      <c r="H1151" s="93" t="n"/>
      <c r="I1151" s="93" t="n"/>
      <c r="J1151" s="93" t="n"/>
      <c r="K1151" s="93" t="n"/>
      <c r="L1151" s="93" t="n"/>
      <c r="M1151" s="93" t="n"/>
    </row>
    <row r="1152">
      <c r="A1152" s="93" t="n"/>
      <c r="B1152" s="93" t="n"/>
      <c r="C1152" s="93" t="n"/>
      <c r="D1152" s="93" t="n"/>
      <c r="E1152" s="93" t="n"/>
      <c r="F1152" s="93" t="n"/>
      <c r="G1152" s="94" t="n"/>
      <c r="H1152" s="93" t="n"/>
      <c r="I1152" s="93" t="n"/>
      <c r="J1152" s="93" t="n"/>
      <c r="K1152" s="93" t="n"/>
      <c r="L1152" s="93" t="n"/>
      <c r="M1152" s="93" t="n"/>
    </row>
    <row r="1153">
      <c r="A1153" s="111" t="n"/>
      <c r="B1153" s="111" t="n"/>
      <c r="C1153" s="111" t="n"/>
      <c r="D1153" s="111" t="n"/>
      <c r="E1153" s="111" t="n"/>
      <c r="F1153" s="111" t="n"/>
      <c r="G1153" s="112" t="n"/>
      <c r="H1153" s="111" t="n"/>
      <c r="I1153" s="111" t="n"/>
      <c r="J1153" s="111" t="n"/>
      <c r="K1153" s="111" t="n"/>
      <c r="L1153" s="111" t="n"/>
      <c r="M1153" s="111" t="n"/>
    </row>
    <row r="1154">
      <c r="A1154" s="96" t="n"/>
      <c r="B1154" s="97" t="n"/>
      <c r="C1154" s="96" t="n"/>
      <c r="D1154" s="97" t="n"/>
      <c r="E1154" s="96" t="n"/>
      <c r="F1154" s="97" t="n"/>
      <c r="G1154" s="94" t="n"/>
      <c r="H1154" s="96" t="n"/>
      <c r="I1154" s="97" t="n"/>
      <c r="J1154" s="96" t="n"/>
      <c r="K1154" s="97" t="n"/>
      <c r="L1154" s="96" t="n"/>
      <c r="M1154" s="97" t="n"/>
    </row>
    <row r="1155">
      <c r="A1155" s="93" t="n"/>
      <c r="B1155" s="93" t="n"/>
      <c r="C1155" s="93" t="n"/>
      <c r="D1155" s="93" t="n"/>
      <c r="E1155" s="93" t="n"/>
      <c r="F1155" s="93" t="n"/>
      <c r="G1155" s="94" t="n"/>
      <c r="H1155" s="93" t="n"/>
      <c r="I1155" s="93" t="n"/>
      <c r="J1155" s="93" t="n"/>
      <c r="K1155" s="93" t="n"/>
      <c r="L1155" s="93" t="n"/>
      <c r="M1155" s="93" t="n"/>
    </row>
    <row r="1156" ht="15" customHeight="1" s="54" thickBot="1">
      <c r="A1156" s="96" t="n"/>
      <c r="B1156" s="97" t="n"/>
      <c r="C1156" s="96" t="n"/>
      <c r="D1156" s="97" t="n"/>
      <c r="E1156" s="96" t="n"/>
      <c r="F1156" s="97" t="n"/>
      <c r="G1156" s="94" t="n"/>
      <c r="H1156" s="96" t="n"/>
      <c r="I1156" s="97" t="n"/>
      <c r="J1156" s="96" t="n"/>
      <c r="K1156" s="97" t="n"/>
      <c r="L1156" s="96" t="n"/>
      <c r="M1156" s="97" t="n"/>
    </row>
    <row r="1157" ht="15" customHeight="1" s="54" thickTop="1">
      <c r="A1157" s="108" t="n"/>
      <c r="B1157" s="108" t="n"/>
      <c r="C1157" s="108" t="n"/>
      <c r="D1157" s="108" t="n"/>
      <c r="E1157" s="108" t="n"/>
      <c r="F1157" s="108" t="n"/>
      <c r="G1157" s="109" t="n"/>
      <c r="H1157" s="108" t="n"/>
      <c r="I1157" s="108" t="n"/>
      <c r="J1157" s="108" t="n"/>
      <c r="K1157" s="108" t="n"/>
      <c r="L1157" s="108" t="n"/>
      <c r="M1157" s="108" t="n"/>
    </row>
    <row r="1158">
      <c r="A1158" s="107" t="n"/>
      <c r="B1158" s="107" t="n"/>
      <c r="C1158" s="107" t="n"/>
      <c r="D1158" s="107" t="n"/>
      <c r="E1158" s="107" t="n"/>
      <c r="F1158" s="90" t="n"/>
      <c r="G1158" s="90" t="n"/>
      <c r="H1158" s="90" t="n"/>
      <c r="I1158" s="90" t="n"/>
      <c r="J1158" s="90" t="n"/>
      <c r="K1158" s="90" t="n"/>
      <c r="L1158" s="90" t="n"/>
      <c r="M1158" s="90" t="n"/>
    </row>
    <row r="1159">
      <c r="A1159" s="90" t="n"/>
      <c r="B1159" s="90" t="n"/>
      <c r="C1159" s="90" t="n"/>
      <c r="D1159" s="90" t="n"/>
      <c r="E1159" s="90" t="n"/>
      <c r="F1159" s="91" t="n"/>
      <c r="G1159" s="91" t="n"/>
      <c r="H1159" s="91" t="n"/>
      <c r="I1159" s="91" t="n"/>
      <c r="J1159" s="90" t="n"/>
      <c r="K1159" s="90" t="n"/>
      <c r="L1159" s="90" t="n"/>
      <c r="M1159" s="90" t="n"/>
    </row>
    <row r="1160">
      <c r="A1160" s="90" t="n"/>
      <c r="B1160" s="90" t="n"/>
      <c r="C1160" s="90" t="n"/>
      <c r="D1160" s="90" t="n"/>
      <c r="E1160" s="90" t="n"/>
      <c r="F1160" s="91" t="n"/>
      <c r="G1160" s="91" t="n"/>
      <c r="H1160" s="91" t="n"/>
      <c r="I1160" s="91" t="n"/>
      <c r="J1160" s="90" t="n"/>
      <c r="K1160" s="90" t="n"/>
      <c r="L1160" s="90" t="n"/>
      <c r="M1160" s="90" t="n"/>
    </row>
    <row r="1161">
      <c r="A1161" s="90" t="n"/>
      <c r="B1161" s="90" t="n"/>
      <c r="C1161" s="90" t="n"/>
      <c r="D1161" s="90" t="n"/>
      <c r="E1161" s="90" t="n"/>
      <c r="F1161" s="91" t="n"/>
      <c r="G1161" s="91" t="n"/>
      <c r="H1161" s="91" t="n"/>
      <c r="I1161" s="91" t="n"/>
      <c r="J1161" s="90" t="n"/>
      <c r="K1161" s="90" t="n"/>
      <c r="L1161" s="90" t="n"/>
      <c r="M1161" s="90" t="n"/>
    </row>
    <row r="1162">
      <c r="A1162" s="92" t="n"/>
      <c r="B1162" s="92" t="n"/>
      <c r="C1162" s="92" t="n"/>
      <c r="D1162" s="92" t="n"/>
      <c r="E1162" s="92" t="n"/>
      <c r="F1162" s="92" t="n"/>
      <c r="H1162" s="92" t="n"/>
      <c r="I1162" s="92" t="n"/>
      <c r="J1162" s="92" t="n"/>
      <c r="K1162" s="92" t="n"/>
      <c r="L1162" s="92" t="n"/>
      <c r="M1162" s="92" t="n"/>
    </row>
    <row r="1163">
      <c r="A1163" s="93" t="n"/>
      <c r="B1163" s="93" t="n"/>
      <c r="C1163" s="93" t="n"/>
      <c r="D1163" s="93" t="n"/>
      <c r="E1163" s="93" t="n"/>
      <c r="F1163" s="93" t="n"/>
      <c r="G1163" s="94" t="n"/>
      <c r="H1163" s="93" t="n"/>
      <c r="I1163" s="93" t="n"/>
      <c r="J1163" s="93" t="n"/>
      <c r="K1163" s="93" t="n"/>
      <c r="L1163" s="93" t="n"/>
      <c r="M1163" s="93" t="n"/>
    </row>
    <row r="1164">
      <c r="A1164" s="93" t="n"/>
      <c r="B1164" s="93" t="n"/>
      <c r="C1164" s="93" t="n"/>
      <c r="D1164" s="93" t="n"/>
      <c r="E1164" s="93" t="n"/>
      <c r="F1164" s="93" t="n"/>
      <c r="G1164" s="94" t="n"/>
      <c r="H1164" s="93" t="n"/>
      <c r="I1164" s="93" t="n"/>
      <c r="J1164" s="93" t="n"/>
      <c r="K1164" s="93" t="n"/>
      <c r="L1164" s="93" t="n"/>
      <c r="M1164" s="93" t="n"/>
    </row>
    <row r="1165">
      <c r="A1165" s="93" t="n"/>
      <c r="B1165" s="93" t="n"/>
      <c r="C1165" s="93" t="n"/>
      <c r="D1165" s="93" t="n"/>
      <c r="E1165" s="93" t="n"/>
      <c r="F1165" s="93" t="n"/>
      <c r="G1165" s="94" t="n"/>
      <c r="H1165" s="93" t="n"/>
      <c r="I1165" s="93" t="n"/>
      <c r="J1165" s="93" t="n"/>
      <c r="K1165" s="93" t="n"/>
      <c r="L1165" s="93" t="n"/>
      <c r="M1165" s="93" t="n"/>
    </row>
    <row r="1166">
      <c r="A1166" s="111" t="n"/>
      <c r="B1166" s="111" t="n"/>
      <c r="C1166" s="111" t="n"/>
      <c r="D1166" s="111" t="n"/>
      <c r="E1166" s="111" t="n"/>
      <c r="F1166" s="111" t="n"/>
      <c r="G1166" s="112" t="n"/>
      <c r="H1166" s="111" t="n"/>
      <c r="I1166" s="111" t="n"/>
      <c r="J1166" s="111" t="n"/>
      <c r="K1166" s="111" t="n"/>
      <c r="L1166" s="111" t="n"/>
      <c r="M1166" s="111" t="n"/>
    </row>
    <row r="1167">
      <c r="A1167" s="96" t="n"/>
      <c r="B1167" s="97" t="n"/>
      <c r="C1167" s="96" t="n"/>
      <c r="D1167" s="97" t="n"/>
      <c r="E1167" s="96" t="n"/>
      <c r="F1167" s="97" t="n"/>
      <c r="G1167" s="94" t="n"/>
      <c r="H1167" s="96" t="n"/>
      <c r="I1167" s="97" t="n"/>
      <c r="J1167" s="96" t="n"/>
      <c r="K1167" s="97" t="n"/>
      <c r="L1167" s="96" t="n"/>
      <c r="M1167" s="97" t="n"/>
    </row>
    <row r="1168">
      <c r="A1168" s="93" t="n"/>
      <c r="B1168" s="93" t="n"/>
      <c r="C1168" s="93" t="n"/>
      <c r="D1168" s="93" t="n"/>
      <c r="E1168" s="93" t="n"/>
      <c r="F1168" s="93" t="n"/>
      <c r="G1168" s="94" t="n"/>
      <c r="H1168" s="93" t="n"/>
      <c r="I1168" s="93" t="n"/>
      <c r="J1168" s="93" t="n"/>
      <c r="K1168" s="93" t="n"/>
      <c r="L1168" s="93" t="n"/>
      <c r="M1168" s="93" t="n"/>
    </row>
    <row r="1169">
      <c r="A1169" s="93" t="n"/>
      <c r="B1169" s="93" t="n"/>
      <c r="C1169" s="93" t="n"/>
      <c r="D1169" s="93" t="n"/>
      <c r="E1169" s="93" t="n"/>
      <c r="F1169" s="93" t="n"/>
      <c r="G1169" s="94" t="n"/>
      <c r="H1169" s="93" t="n"/>
      <c r="I1169" s="93" t="n"/>
      <c r="J1169" s="93" t="n"/>
      <c r="K1169" s="93" t="n"/>
      <c r="L1169" s="93" t="n"/>
      <c r="M1169" s="93" t="n"/>
    </row>
    <row r="1170">
      <c r="A1170" s="93" t="n"/>
      <c r="B1170" s="93" t="n"/>
      <c r="C1170" s="93" t="n"/>
      <c r="D1170" s="93" t="n"/>
      <c r="E1170" s="93" t="n"/>
      <c r="F1170" s="93" t="n"/>
      <c r="G1170" s="94" t="n"/>
      <c r="H1170" s="93" t="n"/>
      <c r="I1170" s="93" t="n"/>
      <c r="J1170" s="93" t="n"/>
      <c r="K1170" s="93" t="n"/>
      <c r="L1170" s="93" t="n"/>
      <c r="M1170" s="93" t="n"/>
    </row>
    <row r="1171">
      <c r="A1171" s="93" t="n"/>
      <c r="B1171" s="93" t="n"/>
      <c r="C1171" s="93" t="n"/>
      <c r="D1171" s="93" t="n"/>
      <c r="E1171" s="93" t="n"/>
      <c r="F1171" s="93" t="n"/>
      <c r="G1171" s="94" t="n"/>
      <c r="H1171" s="93" t="n"/>
      <c r="I1171" s="93" t="n"/>
      <c r="J1171" s="93" t="n"/>
      <c r="K1171" s="93" t="n"/>
      <c r="L1171" s="93" t="n"/>
      <c r="M1171" s="93" t="n"/>
    </row>
    <row r="1172">
      <c r="A1172" s="93" t="n"/>
      <c r="B1172" s="93" t="n"/>
      <c r="C1172" s="93" t="n"/>
      <c r="D1172" s="93" t="n"/>
      <c r="E1172" s="93" t="n"/>
      <c r="F1172" s="93" t="n"/>
      <c r="G1172" s="94" t="n"/>
      <c r="H1172" s="93" t="n"/>
      <c r="I1172" s="93" t="n"/>
      <c r="J1172" s="93" t="n"/>
      <c r="K1172" s="93" t="n"/>
      <c r="L1172" s="93" t="n"/>
      <c r="M1172" s="93" t="n"/>
    </row>
    <row r="1173">
      <c r="A1173" s="96" t="n"/>
      <c r="B1173" s="97" t="n"/>
      <c r="C1173" s="96" t="n"/>
      <c r="D1173" s="97" t="n"/>
      <c r="E1173" s="96" t="n"/>
      <c r="F1173" s="97" t="n"/>
      <c r="G1173" s="94" t="n"/>
      <c r="H1173" s="96" t="n"/>
      <c r="I1173" s="97" t="n"/>
      <c r="J1173" s="96" t="n"/>
      <c r="K1173" s="97" t="n"/>
      <c r="L1173" s="96" t="n"/>
      <c r="M1173" s="97" t="n"/>
    </row>
    <row r="1174">
      <c r="A1174" s="93" t="n"/>
      <c r="B1174" s="93" t="n"/>
      <c r="C1174" s="93" t="n"/>
      <c r="D1174" s="93" t="n"/>
      <c r="E1174" s="93" t="n"/>
      <c r="F1174" s="93" t="n"/>
      <c r="G1174" s="94" t="n"/>
      <c r="H1174" s="93" t="n"/>
      <c r="I1174" s="93" t="n"/>
      <c r="J1174" s="93" t="n"/>
      <c r="K1174" s="93" t="n"/>
      <c r="L1174" s="93" t="n"/>
      <c r="M1174" s="93" t="n"/>
    </row>
    <row r="1175">
      <c r="A1175" s="93" t="n"/>
      <c r="B1175" s="93" t="n"/>
      <c r="C1175" s="93" t="n"/>
      <c r="D1175" s="93" t="n"/>
      <c r="E1175" s="93" t="n"/>
      <c r="F1175" s="93" t="n"/>
      <c r="G1175" s="94" t="n"/>
      <c r="H1175" s="93" t="n"/>
      <c r="I1175" s="93" t="n"/>
      <c r="J1175" s="93" t="n"/>
      <c r="K1175" s="93" t="n"/>
      <c r="L1175" s="93" t="n"/>
      <c r="M1175" s="93" t="n"/>
    </row>
    <row r="1176">
      <c r="A1176" s="96" t="n"/>
      <c r="B1176" s="97" t="n"/>
      <c r="C1176" s="96" t="n"/>
      <c r="D1176" s="97" t="n"/>
      <c r="E1176" s="96" t="n"/>
      <c r="F1176" s="97" t="n"/>
      <c r="G1176" s="94" t="n"/>
      <c r="H1176" s="96" t="n"/>
      <c r="I1176" s="97" t="n"/>
      <c r="J1176" s="96" t="n"/>
      <c r="K1176" s="97" t="n"/>
      <c r="L1176" s="96" t="n"/>
      <c r="M1176" s="97" t="n"/>
    </row>
    <row r="1177">
      <c r="A1177" s="93" t="n"/>
      <c r="B1177" s="93" t="n"/>
      <c r="C1177" s="93" t="n"/>
      <c r="D1177" s="93" t="n"/>
      <c r="E1177" s="93" t="n"/>
      <c r="F1177" s="93" t="n"/>
      <c r="G1177" s="94" t="n"/>
      <c r="H1177" s="93" t="n"/>
      <c r="I1177" s="93" t="n"/>
      <c r="J1177" s="93" t="n"/>
      <c r="K1177" s="93" t="n"/>
      <c r="L1177" s="93" t="n"/>
      <c r="M1177" s="93" t="n"/>
    </row>
    <row r="1178">
      <c r="A1178" s="96" t="n"/>
      <c r="B1178" s="97" t="n"/>
      <c r="C1178" s="96" t="n"/>
      <c r="D1178" s="97" t="n"/>
      <c r="E1178" s="96" t="n"/>
      <c r="F1178" s="97" t="n"/>
      <c r="G1178" s="94" t="n"/>
      <c r="H1178" s="96" t="n"/>
      <c r="I1178" s="97" t="n"/>
      <c r="J1178" s="96" t="n"/>
      <c r="K1178" s="97" t="n"/>
      <c r="L1178" s="96" t="n"/>
      <c r="M1178" s="97" t="n"/>
    </row>
    <row r="1179">
      <c r="A1179" s="93" t="n"/>
      <c r="B1179" s="93" t="n"/>
      <c r="C1179" s="93" t="n"/>
      <c r="D1179" s="93" t="n"/>
      <c r="E1179" s="93" t="n"/>
      <c r="F1179" s="93" t="n"/>
      <c r="G1179" s="94" t="n"/>
      <c r="H1179" s="93" t="n"/>
      <c r="I1179" s="93" t="n"/>
      <c r="J1179" s="93" t="n"/>
      <c r="K1179" s="93" t="n"/>
      <c r="L1179" s="93" t="n"/>
      <c r="M1179" s="93" t="n"/>
    </row>
    <row r="1180">
      <c r="A1180" s="93" t="n"/>
      <c r="B1180" s="93" t="n"/>
      <c r="C1180" s="93" t="n"/>
      <c r="D1180" s="93" t="n"/>
      <c r="E1180" s="93" t="n"/>
      <c r="F1180" s="93" t="n"/>
      <c r="G1180" s="94" t="n"/>
      <c r="H1180" s="93" t="n"/>
      <c r="I1180" s="93" t="n"/>
      <c r="J1180" s="93" t="n"/>
      <c r="K1180" s="93" t="n"/>
      <c r="L1180" s="93" t="n"/>
      <c r="M1180" s="93" t="n"/>
    </row>
    <row r="1181">
      <c r="A1181" s="111" t="n"/>
      <c r="B1181" s="111" t="n"/>
      <c r="C1181" s="111" t="n"/>
      <c r="D1181" s="111" t="n"/>
      <c r="E1181" s="111" t="n"/>
      <c r="F1181" s="111" t="n"/>
      <c r="G1181" s="112" t="n"/>
      <c r="H1181" s="111" t="n"/>
      <c r="I1181" s="111" t="n"/>
      <c r="J1181" s="111" t="n"/>
      <c r="K1181" s="111" t="n"/>
      <c r="L1181" s="111" t="n"/>
      <c r="M1181" s="111" t="n"/>
    </row>
    <row r="1182">
      <c r="A1182" s="96" t="n"/>
      <c r="B1182" s="97" t="n"/>
      <c r="C1182" s="96" t="n"/>
      <c r="D1182" s="97" t="n"/>
      <c r="E1182" s="96" t="n"/>
      <c r="F1182" s="97" t="n"/>
      <c r="G1182" s="94" t="n"/>
      <c r="H1182" s="96" t="n"/>
      <c r="I1182" s="97" t="n"/>
      <c r="J1182" s="96" t="n"/>
      <c r="K1182" s="97" t="n"/>
      <c r="L1182" s="96" t="n"/>
      <c r="M1182" s="97" t="n"/>
    </row>
    <row r="1183">
      <c r="A1183" s="93" t="n"/>
      <c r="B1183" s="93" t="n"/>
      <c r="C1183" s="93" t="n"/>
      <c r="D1183" s="93" t="n"/>
      <c r="E1183" s="93" t="n"/>
      <c r="F1183" s="93" t="n"/>
      <c r="G1183" s="94" t="n"/>
      <c r="H1183" s="93" t="n"/>
      <c r="I1183" s="93" t="n"/>
      <c r="J1183" s="93" t="n"/>
      <c r="K1183" s="93" t="n"/>
      <c r="L1183" s="93" t="n"/>
      <c r="M1183" s="93" t="n"/>
    </row>
    <row r="1184">
      <c r="A1184" s="96" t="n"/>
      <c r="B1184" s="97" t="n"/>
      <c r="C1184" s="96" t="n"/>
      <c r="D1184" s="97" t="n"/>
      <c r="E1184" s="96" t="n"/>
      <c r="F1184" s="97" t="n"/>
      <c r="G1184" s="94" t="n"/>
      <c r="H1184" s="96" t="n"/>
      <c r="I1184" s="97" t="n"/>
      <c r="J1184" s="96" t="n"/>
      <c r="K1184" s="97" t="n"/>
      <c r="L1184" s="96" t="n"/>
      <c r="M1184" s="97" t="n"/>
    </row>
    <row r="1185">
      <c r="A1185" s="93" t="n"/>
      <c r="B1185" s="93" t="n"/>
      <c r="C1185" s="93" t="n"/>
      <c r="D1185" s="93" t="n"/>
      <c r="E1185" s="93" t="n"/>
      <c r="F1185" s="93" t="n"/>
      <c r="G1185" s="94" t="n"/>
      <c r="H1185" s="93" t="n"/>
      <c r="I1185" s="93" t="n"/>
      <c r="J1185" s="93" t="n"/>
      <c r="K1185" s="93" t="n"/>
      <c r="L1185" s="93" t="n"/>
      <c r="M1185" s="93" t="n"/>
    </row>
    <row r="1186">
      <c r="A1186" s="93" t="n"/>
      <c r="B1186" s="93" t="n"/>
      <c r="C1186" s="93" t="n"/>
      <c r="D1186" s="93" t="n"/>
      <c r="E1186" s="93" t="n"/>
      <c r="F1186" s="93" t="n"/>
      <c r="G1186" s="94" t="n"/>
      <c r="H1186" s="93" t="n"/>
      <c r="I1186" s="93" t="n"/>
      <c r="J1186" s="93" t="n"/>
      <c r="K1186" s="93" t="n"/>
      <c r="L1186" s="93" t="n"/>
      <c r="M1186" s="93" t="n"/>
    </row>
    <row r="1187">
      <c r="A1187" s="111" t="n"/>
      <c r="B1187" s="111" t="n"/>
      <c r="C1187" s="111" t="n"/>
      <c r="D1187" s="111" t="n"/>
      <c r="E1187" s="111" t="n"/>
      <c r="F1187" s="111" t="n"/>
      <c r="G1187" s="112" t="n"/>
      <c r="H1187" s="111" t="n"/>
      <c r="I1187" s="111" t="n"/>
      <c r="J1187" s="111" t="n"/>
      <c r="K1187" s="111" t="n"/>
      <c r="L1187" s="111" t="n"/>
      <c r="M1187" s="111" t="n"/>
    </row>
    <row r="1188">
      <c r="A1188" s="96" t="n"/>
      <c r="B1188" s="97" t="n"/>
      <c r="C1188" s="96" t="n"/>
      <c r="D1188" s="97" t="n"/>
      <c r="E1188" s="96" t="n"/>
      <c r="F1188" s="97" t="n"/>
      <c r="G1188" s="94" t="n"/>
      <c r="H1188" s="96" t="n"/>
      <c r="I1188" s="97" t="n"/>
      <c r="J1188" s="96" t="n"/>
      <c r="K1188" s="97" t="n"/>
      <c r="L1188" s="96" t="n"/>
      <c r="M1188" s="97" t="n"/>
    </row>
    <row r="1189">
      <c r="A1189" s="93" t="n"/>
      <c r="B1189" s="93" t="n"/>
      <c r="C1189" s="93" t="n"/>
      <c r="D1189" s="93" t="n"/>
      <c r="E1189" s="93" t="n"/>
      <c r="F1189" s="93" t="n"/>
      <c r="G1189" s="94" t="n"/>
      <c r="H1189" s="93" t="n"/>
      <c r="I1189" s="93" t="n"/>
      <c r="J1189" s="93" t="n"/>
      <c r="K1189" s="93" t="n"/>
      <c r="L1189" s="93" t="n"/>
      <c r="M1189" s="93" t="n"/>
    </row>
    <row r="1190" ht="15" customHeight="1" s="54" thickBot="1">
      <c r="A1190" s="96" t="n"/>
      <c r="B1190" s="97" t="n"/>
      <c r="C1190" s="96" t="n"/>
      <c r="D1190" s="97" t="n"/>
      <c r="E1190" s="96" t="n"/>
      <c r="F1190" s="97" t="n"/>
      <c r="G1190" s="94" t="n"/>
      <c r="H1190" s="96" t="n"/>
      <c r="I1190" s="97" t="n"/>
      <c r="J1190" s="96" t="n"/>
      <c r="K1190" s="97" t="n"/>
      <c r="L1190" s="96" t="n"/>
      <c r="M1190" s="97" t="n"/>
    </row>
    <row r="1191" ht="15" customHeight="1" s="54" thickTop="1">
      <c r="A1191" s="108" t="n"/>
      <c r="B1191" s="108" t="n"/>
      <c r="C1191" s="108" t="n"/>
      <c r="D1191" s="108" t="n"/>
      <c r="E1191" s="108" t="n"/>
      <c r="F1191" s="108" t="n"/>
      <c r="G1191" s="109" t="n"/>
      <c r="H1191" s="108" t="n"/>
      <c r="I1191" s="108" t="n"/>
      <c r="J1191" s="108" t="n"/>
      <c r="K1191" s="108" t="n"/>
      <c r="L1191" s="108" t="n"/>
      <c r="M1191" s="108" t="n"/>
    </row>
    <row r="1192">
      <c r="A1192" s="107" t="n"/>
      <c r="B1192" s="107" t="n"/>
      <c r="C1192" s="107" t="n"/>
      <c r="D1192" s="107" t="n"/>
      <c r="E1192" s="107" t="n"/>
      <c r="F1192" s="90" t="n"/>
      <c r="G1192" s="90" t="n"/>
      <c r="H1192" s="90" t="n"/>
      <c r="I1192" s="90" t="n"/>
      <c r="J1192" s="90" t="n"/>
      <c r="K1192" s="90" t="n"/>
      <c r="L1192" s="90" t="n"/>
      <c r="M1192" s="90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 password="C660"/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2026-06-25T16:42:30Z</dcterms:created>
  <dcterms:modified xsi:type="dcterms:W3CDTF">2026-06-29T14:41:49Z</dcterms:modified>
  <cp:lastModifiedBy>Elias Chamoun</cp:lastModifiedBy>
</cp:coreProperties>
</file>